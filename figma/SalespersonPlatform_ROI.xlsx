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Planner" sheetId="2" state="visible" r:id="rId4"/>
    <sheet name="Cost Guide" sheetId="3" state="visible" r:id="rId5"/>
    <sheet name="ROI Calcul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<sst xmlns="http://schemas.openxmlformats.org/spreadsheetml/2006/main" count="259" uniqueCount="216">
  <si>
    <t xml:space="preserve">SALESPERSON PLATFORM  |  Marketing ROI Planner</t>
  </si>
  <si>
    <t xml:space="preserve">Complete all yellow cells. Formula cells are pre-built — do not edit grey cells.</t>
  </si>
  <si>
    <t xml:space="preserve">STEP 1 — CAMPAIGN DETAILS</t>
  </si>
  <si>
    <t xml:space="preserve">Campaign Name:</t>
  </si>
  <si>
    <t xml:space="preserve">Platform / Product:</t>
  </si>
  <si>
    <t xml:space="preserve">Campaign Start:</t>
  </si>
  <si>
    <t xml:space="preserve">Campaign End:</t>
  </si>
  <si>
    <t xml:space="preserve">Your Name:</t>
  </si>
  <si>
    <t xml:space="preserve">Contact:</t>
  </si>
  <si>
    <t xml:space="preserve">STEP 2 — SET YOUR TOTAL MONTHLY AD BUDGET</t>
  </si>
  <si>
    <t xml:space="preserve">Total Monthly Ad Budget (£):</t>
  </si>
  <si>
    <t xml:space="preserve">This is your spend to recruit salespeople via ads.</t>
  </si>
  <si>
    <t xml:space="preserve">STEP 3 — BUDGET HEALTH CHECK  (auto-filled from Budget Planner)</t>
  </si>
  <si>
    <t xml:space="preserve">Total Monthly Ad Budget:</t>
  </si>
  <si>
    <t xml:space="preserve">Total Budget Allocated:</t>
  </si>
  <si>
    <t xml:space="preserve">Total Budget Remaining:</t>
  </si>
  <si>
    <t xml:space="preserve">% of Budget Allocated:</t>
  </si>
  <si>
    <t xml:space="preserve">⚠  WARNING: If 'Total Budget Remaining' above is negative you are OVER budget. Return to Budget Planner and reduce spend.</t>
  </si>
  <si>
    <t xml:space="preserve">HOW TO USE THIS PLANNER</t>
  </si>
  <si>
    <t xml:space="preserve">STEP 1</t>
  </si>
  <si>
    <t xml:space="preserve">Fill in Campaign Details above.</t>
  </si>
  <si>
    <t xml:space="preserve">STEP 2</t>
  </si>
  <si>
    <t xml:space="preserve">Enter your Total Monthly Ad Budget in C10.</t>
  </si>
  <si>
    <t xml:space="preserve">STEP 3</t>
  </si>
  <si>
    <t xml:space="preserve">Go to Budget Planner — enter monthly spend per ad channel for salesperson recruitment.</t>
  </si>
  <si>
    <t xml:space="preserve">STEP 4</t>
  </si>
  <si>
    <t xml:space="preserve">Use the Cost Guide tab for typical CPC / CPM benchmarks per platform.</t>
  </si>
  <si>
    <t xml:space="preserve">STEP 5</t>
  </si>
  <si>
    <t xml:space="preserve">Go to ROI Calculator — enter your CPC, app download-to-activation rate, and salesperson close rate to project upfront and recurring revenue from ad spend.</t>
  </si>
  <si>
    <t xml:space="preserve">TIP</t>
  </si>
  <si>
    <t xml:space="preserve">Keep 5-10% as contingency. The key metric is Cost Per Closed Sale, not just CPC.</t>
  </si>
  <si>
    <t xml:space="preserve">COLOUR CODE LEGEND</t>
  </si>
  <si>
    <t xml:space="preserve">Yellow cell / Blue text</t>
  </si>
  <si>
    <t xml:space="preserve">Input cell — fill this in</t>
  </si>
  <si>
    <t xml:space="preserve">Grey cell / Black text</t>
  </si>
  <si>
    <t xml:space="preserve">Formula cell — do not edit</t>
  </si>
  <si>
    <t xml:space="preserve">Green cell / Green text</t>
  </si>
  <si>
    <t xml:space="preserve">Summary — links from another sheet</t>
  </si>
  <si>
    <t xml:space="preserve">Orange cell / Red text</t>
  </si>
  <si>
    <t xml:space="preserve">Warning — action needed</t>
  </si>
  <si>
    <t xml:space="preserve">BUDGET PLANNER  |  Enter monthly ad spend per channel in the yellow cells</t>
  </si>
  <si>
    <t xml:space="preserve">HOW TO USE: (1) Rename Month 1–6 to your actual months. (2) Enter planned spend in YELLOW cells. (3) Totals auto-calculate. (4) Channels here are for salesperson recruitment ads — not product ads.</t>
  </si>
  <si>
    <t xml:space="preserve">← pulled from Overview</t>
  </si>
  <si>
    <t xml:space="preserve">Rename months →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</si>
  <si>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</si>
  <si>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</si>
  <si>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</si>
  <si>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</si>
  <si>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</si>
  <si>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</si>
  <si>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Ad Channel</t>
  </si>
  <si>
    <t xml:space="preserve">Category</t>
  </si>
  <si>
    <t xml:space="preserve">TOTAL (£)</t>
  </si>
  <si>
    <t xml:space="preserve">% of Budget</t>
  </si>
  <si>
    <t xml:space="preserve">Facebook / Instagram Ads</t>
  </si>
  <si>
    <t xml:space="preserve">Paid Social</t>
  </si>
  <si>
    <t xml:space="preserve">TikTok Ads</t>
  </si>
  <si>
    <t xml:space="preserve">LinkedIn Ads</t>
  </si>
  <si>
    <t xml:space="preserve">Google Search Ads (PPC)</t>
  </si>
  <si>
    <t xml:space="preserve">Search</t>
  </si>
  <si>
    <t xml:space="preserve">Google Display Network</t>
  </si>
  <si>
    <t xml:space="preserve">Display</t>
  </si>
  <si>
    <t xml:space="preserve">YouTube Ads</t>
  </si>
  <si>
    <t xml:space="preserve">Video</t>
  </si>
  <si>
    <t xml:space="preserve">Reddit Ads</t>
  </si>
  <si>
    <t xml:space="preserve">Community</t>
  </si>
  <si>
    <t xml:space="preserve">Contingency / Reserve</t>
  </si>
  <si>
    <t xml:space="preserve">Reserve</t>
  </si>
  <si>
    <t xml:space="preserve">[Add your own channel]</t>
  </si>
  <si>
    <t xml:space="preserve">—</t>
  </si>
  <si>
    <t xml:space="preserve">TOTAL</t>
  </si>
  <si>
    <t xml:space="preserve">REMAINING BUDGET (must be £0 or positive):</t>
  </si>
  <si>
    <t xml:space="preserve">← If negative, reduce spend!</t>
  </si>
  <si>
    <t xml:space="preserve">INDUSTRY AVERAGE COST GUIDE  |  Use these to inform and justify your budget</t>
  </si>
  <si>
    <t xml:space="preserve">These are approximate UK 2025-26 averages. Use the MID estimate as your default. Costs vary by targeting, competition, and creative quality.</t>
  </si>
  <si>
    <t xml:space="preserve">Channel / Platform</t>
  </si>
  <si>
    <t xml:space="preserve">Metric</t>
  </si>
  <si>
    <t xml:space="preserve">LOW</t>
  </si>
  <si>
    <t xml:space="preserve">MID (use this)</t>
  </si>
  <si>
    <t xml:space="preserve">HIGH</t>
  </si>
  <si>
    <t xml:space="preserve">Notes</t>
  </si>
  <si>
    <t xml:space="preserve">PAID SOCIAL</t>
  </si>
  <si>
    <t xml:space="preserve">Facebook / Instagram</t>
  </si>
  <si>
    <t xml:space="preserve">CPC</t>
  </si>
  <si>
    <t xml:space="preserve">£0.40</t>
  </si>
  <si>
    <t xml:space="preserve">£0.85</t>
  </si>
  <si>
    <t xml:space="preserve">£2.50</t>
  </si>
  <si>
    <t xml:space="preserve">Cost per click — good for side-hustle recruitment creatives</t>
  </si>
  <si>
    <t xml:space="preserve">CPM</t>
  </si>
  <si>
    <t xml:space="preserve">£5</t>
  </si>
  <si>
    <t xml:space="preserve">£9</t>
  </si>
  <si>
    <t xml:space="preserve">£18</t>
  </si>
  <si>
    <t xml:space="preserve">Cost per 1,000 impressions</t>
  </si>
  <si>
    <t xml:space="preserve">CPL (App Download)</t>
  </si>
  <si>
    <t xml:space="preserve">£0.50</t>
  </si>
  <si>
    <t xml:space="preserve">£1.50</t>
  </si>
  <si>
    <t xml:space="preserve">£4</t>
  </si>
  <si>
    <t xml:space="preserve">Cost per app install / sign-up — lower than CPL for product sales</t>
  </si>
  <si>
    <t xml:space="preserve">£0.20</t>
  </si>
  <si>
    <t xml:space="preserve">£0.55</t>
  </si>
  <si>
    <t xml:space="preserve">Underpriced attention for 18-30 demographic</t>
  </si>
  <si>
    <t xml:space="preserve">£7.50</t>
  </si>
  <si>
    <t xml:space="preserve">£14</t>
  </si>
  <si>
    <t xml:space="preserve">Lower CPM than Meta — strong for viral side-hustle content</t>
  </si>
  <si>
    <t xml:space="preserve">£0.30</t>
  </si>
  <si>
    <t xml:space="preserve">£1.00</t>
  </si>
  <si>
    <t xml:space="preserve">£3</t>
  </si>
  <si>
    <t xml:space="preserve">Potentially cheapest download channel for your demographic</t>
  </si>
  <si>
    <t xml:space="preserve">£3.50</t>
  </si>
  <si>
    <t xml:space="preserve">£7</t>
  </si>
  <si>
    <t xml:space="preserve">£15</t>
  </si>
  <si>
    <t xml:space="preserve">Higher cost but targets professionals — use for B2B operator recruitment</t>
  </si>
  <si>
    <t xml:space="preserve">£0.60</t>
  </si>
  <si>
    <t xml:space="preserve">£2</t>
  </si>
  <si>
    <t xml:space="preserve">r/sidehustle, r/UKPersonalFinance — self-selecting motivated audience</t>
  </si>
  <si>
    <t xml:space="preserve">Google Search Ads</t>
  </si>
  <si>
    <t xml:space="preserve">£10</t>
  </si>
  <si>
    <t xml:space="preserve">Use for branded terms once platform is known</t>
  </si>
  <si>
    <t xml:space="preserve">Google Display</t>
  </si>
  <si>
    <t xml:space="preserve">£1</t>
  </si>
  <si>
    <t xml:space="preserve">£6</t>
  </si>
  <si>
    <t xml:space="preserve">Retargeting website visitors</t>
  </si>
  <si>
    <t xml:space="preserve">YouTube Pre-Roll</t>
  </si>
  <si>
    <t xml:space="preserve">CPV</t>
  </si>
  <si>
    <t xml:space="preserve">£0.01</t>
  </si>
  <si>
    <t xml:space="preserve">£0.03</t>
  </si>
  <si>
    <t xml:space="preserve">£0.08</t>
  </si>
  <si>
    <t xml:space="preserve">Per view — good for demo of the platform concept</t>
  </si>
  <si>
    <t xml:space="preserve">YOUR BUSINESS — KEY CONVERSION BENCHMARKS</t>
  </si>
  <si>
    <t xml:space="preserve">App Download → Activation Rate</t>
  </si>
  <si>
    <t xml:space="preserve">% of downloads who claim a lead</t>
  </si>
  <si>
    <t xml:space="preserve">10%</t>
  </si>
  <si>
    <t xml:space="preserve">30%</t>
  </si>
  <si>
    <t xml:space="preserve">50%</t>
  </si>
  <si>
    <t xml:space="preserve">Key assumption — validate in week 1</t>
  </si>
  <si>
    <t xml:space="preserve">Pitch → Close Rate</t>
  </si>
  <si>
    <t xml:space="preserve">% of pitches that close</t>
  </si>
  <si>
    <t xml:space="preserve">2%</t>
  </si>
  <si>
    <t xml:space="preserve">5%</t>
  </si>
  <si>
    <t xml:space="preserve">8%</t>
  </si>
  <si>
    <t xml:space="preserve">Your most important metric</t>
  </si>
  <si>
    <t xml:space="preserve">Salesperson Daily Pitches</t>
  </si>
  <si>
    <t xml:space="preserve">Businesses visited per day</t>
  </si>
  <si>
    <t xml:space="preserve">10</t>
  </si>
  <si>
    <t xml:space="preserve">20</t>
  </si>
  <si>
    <t xml:space="preserve">30</t>
  </si>
  <si>
    <t xml:space="preserve">Depends on business density and pitch length</t>
  </si>
  <si>
    <t xml:space="preserve">Cost Per Closed Sale (from ads)</t>
  </si>
  <si>
    <t xml:space="preserve">Ad spend ÷ closes</t>
  </si>
  <si>
    <t xml:space="preserve">Calculate in ROI tab</t>
  </si>
  <si>
    <t xml:space="preserve">This is your real PAC from advertising</t>
  </si>
  <si>
    <t xml:space="preserve">ROI CALCULATOR  |  From ad spend → app downloads → salespeople → closed sales</t>
  </si>
  <si>
    <t xml:space="preserve">This calculator has two layers: (1) Ad spend → app downloads → activated salespeople. (2) Activated salespeople → pitches → closed sales → revenue. Your ad spend funds recruitment; salespeople fund themselves via commission.</t>
  </si>
  <si>
    <t xml:space="preserve">KEY ASSUMPTIONS — Enter once, used across all calculations</t>
  </si>
  <si>
    <t xml:space="preserve">Upfront website price charged to client (£):</t>
  </si>
  <si>
    <t xml:space="preserve">Monthly recurring charged to client (£):</t>
  </si>
  <si>
    <t xml:space="preserve">Commission per closed sale (£):</t>
  </si>
  <si>
    <t xml:space="preserve">Your net per closed sale after commission (£):</t>
  </si>
  <si>
    <t xml:space="preserve">Monthly hosting cost per live site (£):</t>
  </si>
  <si>
    <t xml:space="preserve">Net monthly recurring per client (£):</t>
  </si>
  <si>
    <t xml:space="preserve">SECTION A — Ad Spend → App Downloads → Activated Salespeople</t>
  </si>
  <si>
    <t xml:space="preserve">HOW TO USE: Enter your monthly budget per channel, CPC/CPL from Cost Guide, and estimated download-to-activation rate. All other figures calculate automatically.</t>
  </si>
  <si>
    <t xml:space="preserve">Monthly Budget (£)</t>
  </si>
  <si>
    <t xml:space="preserve">CPC / CPL (£)</t>
  </si>
  <si>
    <t xml:space="preserve">Est. Downloads / Signups</t>
  </si>
  <si>
    <t xml:space="preserve">Activation Rate %</t>
  </si>
  <si>
    <t xml:space="preserve">Activated Salespeople</t>
  </si>
  <si>
    <t xml:space="preserve">Pitches Per Person/Month</t>
  </si>
  <si>
    <t xml:space="preserve">Total Pitches/Month</t>
  </si>
  <si>
    <t xml:space="preserve">TOTALS</t>
  </si>
  <si>
    <t xml:space="preserve">SECTION B — Salesperson Pitches → Closed Sales → Revenue</t>
  </si>
  <si>
    <t xml:space="preserve">This section takes total pitches from Section A and models revenue. Note: commission costs are paid FROM client payments, not from your ad budget.</t>
  </si>
  <si>
    <t xml:space="preserve">Low Scenario</t>
  </si>
  <si>
    <t xml:space="preserve">Realistic Scenario</t>
  </si>
  <si>
    <t xml:space="preserve">Optimistic Scenario</t>
  </si>
  <si>
    <t xml:space="preserve">Total Pitches / Month</t>
  </si>
  <si>
    <t xml:space="preserve">From Section A totals</t>
  </si>
  <si>
    <t xml:space="preserve">Close Rate %</t>
  </si>
  <si>
    <t xml:space="preserve">Enter your estimate — validate with real data first</t>
  </si>
  <si>
    <t xml:space="preserve">Closed Sales / Month</t>
  </si>
  <si>
    <t xml:space="preserve">Pitches × close rate</t>
  </si>
  <si>
    <t xml:space="preserve">Gross Upfront Revenue (£)</t>
  </si>
  <si>
    <t xml:space="preserve">Closed sales × £350</t>
  </si>
  <si>
    <t xml:space="preserve">Total Commission Paid (£)</t>
  </si>
  <si>
    <t xml:space="preserve">Closed sales × £50 — paid from client payment</t>
  </si>
  <si>
    <t xml:space="preserve">Net Upfront Revenue to You (£)</t>
  </si>
  <si>
    <t xml:space="preserve">After commission</t>
  </si>
  <si>
    <t xml:space="preserve">New Recurring Clients Added</t>
  </si>
  <si>
    <t xml:space="preserve">Equals closed sales</t>
  </si>
  <si>
    <t xml:space="preserve">New MRR Added (£)</t>
  </si>
  <si>
    <t xml:space="preserve">New clients × net £25.50/month</t>
  </si>
  <si>
    <t xml:space="preserve">Cumulative MRR after 6 months (£)</t>
  </si>
  <si>
    <t xml:space="preserve">Compound growth with 5% monthly churn</t>
  </si>
  <si>
    <t xml:space="preserve">6-Month Upfront Revenue (£)</t>
  </si>
  <si>
    <t xml:space="preserve">Net upfront × 6 months</t>
  </si>
  <si>
    <t xml:space="preserve">6-Month Recurring Revenue (£)</t>
  </si>
  <si>
    <t xml:space="preserve">Approximate cumulative recurring</t>
  </si>
  <si>
    <t xml:space="preserve">TOTAL 6-MONTH NET REVENUE (£)</t>
  </si>
  <si>
    <t xml:space="preserve">Your target: £40,000–£50,000</t>
  </si>
  <si>
    <t xml:space="preserve">SECTION C — True Cost Per Closed Sale (Your Real PAC from Ads)</t>
  </si>
  <si>
    <t xml:space="preserve">Low</t>
  </si>
  <si>
    <t xml:space="preserve">Realistic</t>
  </si>
  <si>
    <t xml:space="preserve">Optimistic</t>
  </si>
  <si>
    <t xml:space="preserve">Monthly Ad Spend (£)</t>
  </si>
  <si>
    <t xml:space="preserve">From Section A</t>
  </si>
  <si>
    <t xml:space="preserve">From Section B</t>
  </si>
  <si>
    <t xml:space="preserve">Ad Cost Per Closed Sale (£)</t>
  </si>
  <si>
    <t xml:space="preserve">Ad spend ÷ closes — your true PAC</t>
  </si>
  <si>
    <t xml:space="preserve">Commission Per Closed Sale (£)</t>
  </si>
  <si>
    <t xml:space="preserve">Fixed regardless of ad channel</t>
  </si>
  <si>
    <t xml:space="preserve">Total Cost Per Closed Sale (£)</t>
  </si>
  <si>
    <t xml:space="preserve">Ad PAC + commission</t>
  </si>
  <si>
    <t xml:space="preserve">Revenue Per Closed Sale (£)</t>
  </si>
  <si>
    <t xml:space="preserve">£350 upfront</t>
  </si>
  <si>
    <t xml:space="preserve">Profit Per Closed Sale (£)</t>
  </si>
  <si>
    <t xml:space="preserve">Revenue minus total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</si>
</sst>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;&quot;(£&quot;#,##0.00\);\-"/>
    <numFmt numFmtId="166" formatCode="0.0%;\(0.0%\);\-"/>
    <numFmt numFmtId="167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D9D9"/>
      </patternFill>
    </fill>
    <fill>
      <patternFill patternType="solid">
        <fgColor rgb="FFFFE0B2"/>
        <bgColor rgb="FFE2EFDA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B2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8"/>
  </cols>
  <sheetData>
    <row r="1" customFormat="false" ht="36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B2" s="3" t="s">
        <v>1</v>
      </c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B5" s="5" t="s">
        <v>3</v>
      </c>
      <c r="C5" s="6"/>
      <c r="D5" s="6"/>
      <c r="F5" s="5" t="s">
        <v>4</v>
      </c>
      <c r="G5" s="6"/>
    </row>
    <row r="6" customFormat="false" ht="19.5" hidden="false" customHeight="true" outlineLevel="0" collapsed="false">
      <c r="B6" s="5" t="s">
        <v>5</v>
      </c>
      <c r="C6" s="6"/>
      <c r="D6" s="6"/>
      <c r="F6" s="5" t="s">
        <v>6</v>
      </c>
      <c r="G6" s="6"/>
    </row>
    <row r="7" customFormat="false" ht="19.5" hidden="false" customHeight="true" outlineLevel="0" collapsed="false">
      <c r="B7" s="5" t="s">
        <v>7</v>
      </c>
      <c r="C7" s="6"/>
      <c r="D7" s="6"/>
      <c r="F7" s="5" t="s">
        <v>8</v>
      </c>
      <c r="G7" s="6"/>
    </row>
    <row r="9" customFormat="false" ht="15" hidden="false" customHeight="true" outlineLevel="0" collapsed="false">
      <c r="B9" s="4" t="s">
        <v>9</v>
      </c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B10" s="5" t="s">
        <v>10</v>
      </c>
      <c r="C10" s="7"/>
      <c r="D10" s="7"/>
      <c r="F10" s="8" t="s">
        <v>11</v>
      </c>
    </row>
    <row r="12" customFormat="false" ht="15" hidden="false" customHeight="true" outlineLevel="0" collapsed="false">
      <c r="B12" s="4" t="s">
        <v>12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5" t="s">
        <v>13</v>
      </c>
      <c r="C13" s="9" t="n">
        <f aca="false">'Budget Planner'!E3</f>
        <v>0</v>
      </c>
      <c r="D13" s="9"/>
    </row>
    <row r="14" customFormat="false" ht="15" hidden="false" customHeight="true" outlineLevel="0" collapsed="false">
      <c r="B14" s="5" t="s">
        <v>14</v>
      </c>
      <c r="C14" s="9" t="n">
        <f aca="false">'Budget Planner'!H26</f>
        <v>0</v>
      </c>
      <c r="D14" s="9"/>
    </row>
    <row r="15" customFormat="false" ht="15" hidden="false" customHeight="true" outlineLevel="0" collapsed="false">
      <c r="B15" s="5" t="s">
        <v>15</v>
      </c>
      <c r="C15" s="9" t="n">
        <f aca="false">'Budget Planner'!H27</f>
        <v>0</v>
      </c>
      <c r="D15" s="9"/>
    </row>
    <row r="16" customFormat="false" ht="15" hidden="false" customHeight="true" outlineLevel="0" collapsed="false">
      <c r="B16" s="5" t="s">
        <v>16</v>
      </c>
      <c r="C16" s="10" t="n">
        <f aca="false">IFERROR('Budget Planner'!H26/'Budget Planner'!E3,0)</f>
        <v>0</v>
      </c>
      <c r="D16" s="10"/>
    </row>
    <row r="17" customFormat="false" ht="30" hidden="false" customHeight="true" outlineLevel="0" collapsed="false">
      <c r="B17" s="11" t="s">
        <v>17</v>
      </c>
      <c r="C17" s="11"/>
      <c r="D17" s="11"/>
      <c r="E17" s="11"/>
      <c r="F17" s="11"/>
      <c r="G17" s="11"/>
      <c r="H17" s="11"/>
    </row>
    <row r="19" customFormat="false" ht="15" hidden="false" customHeight="true" outlineLevel="0" collapsed="false">
      <c r="B19" s="4" t="s">
        <v>18</v>
      </c>
      <c r="C19" s="4"/>
      <c r="D19" s="4"/>
      <c r="E19" s="4"/>
      <c r="F19" s="4"/>
      <c r="G19" s="4"/>
      <c r="H19" s="4"/>
    </row>
    <row r="20" customFormat="false" ht="21.75" hidden="false" customHeight="true" outlineLevel="0" collapsed="false">
      <c r="B20" s="12" t="s">
        <v>19</v>
      </c>
      <c r="C20" s="13" t="s">
        <v>20</v>
      </c>
      <c r="D20" s="13"/>
      <c r="E20" s="13"/>
      <c r="F20" s="13"/>
      <c r="G20" s="13"/>
      <c r="H20" s="13"/>
    </row>
    <row r="21" customFormat="false" ht="21.75" hidden="false" customHeight="true" outlineLevel="0" collapsed="false">
      <c r="B21" s="14" t="s">
        <v>21</v>
      </c>
      <c r="C21" s="15" t="s">
        <v>22</v>
      </c>
      <c r="D21" s="15"/>
      <c r="E21" s="15"/>
      <c r="F21" s="15"/>
      <c r="G21" s="15"/>
      <c r="H21" s="15"/>
    </row>
    <row r="22" customFormat="false" ht="21.75" hidden="false" customHeight="true" outlineLevel="0" collapsed="false">
      <c r="B22" s="12" t="s">
        <v>23</v>
      </c>
      <c r="C22" s="13" t="s">
        <v>24</v>
      </c>
      <c r="D22" s="13"/>
      <c r="E22" s="13"/>
      <c r="F22" s="13"/>
      <c r="G22" s="13"/>
      <c r="H22" s="13"/>
    </row>
    <row r="23" customFormat="false" ht="21.75" hidden="false" customHeight="true" outlineLevel="0" collapsed="false">
      <c r="B23" s="14" t="s">
        <v>25</v>
      </c>
      <c r="C23" s="15" t="s">
        <v>26</v>
      </c>
      <c r="D23" s="15"/>
      <c r="E23" s="15"/>
      <c r="F23" s="15"/>
      <c r="G23" s="15"/>
      <c r="H23" s="15"/>
    </row>
    <row r="24" customFormat="false" ht="21.75" hidden="false" customHeight="true" outlineLevel="0" collapsed="false">
      <c r="B24" s="12" t="s">
        <v>27</v>
      </c>
      <c r="C24" s="13" t="s">
        <v>28</v>
      </c>
      <c r="D24" s="13"/>
      <c r="E24" s="13"/>
      <c r="F24" s="13"/>
      <c r="G24" s="13"/>
      <c r="H24" s="13"/>
    </row>
    <row r="25" customFormat="false" ht="21.75" hidden="false" customHeight="true" outlineLevel="0" collapsed="false">
      <c r="B25" s="14" t="s">
        <v>29</v>
      </c>
      <c r="C25" s="15" t="s">
        <v>30</v>
      </c>
      <c r="D25" s="15"/>
      <c r="E25" s="15"/>
      <c r="F25" s="15"/>
      <c r="G25" s="15"/>
      <c r="H25" s="15"/>
    </row>
    <row r="27" customFormat="false" ht="15" hidden="false" customHeight="true" outlineLevel="0" collapsed="false">
      <c r="B27" s="4" t="s">
        <v>31</v>
      </c>
      <c r="C27" s="4"/>
      <c r="D27" s="4"/>
      <c r="E27" s="4"/>
      <c r="F27" s="4"/>
      <c r="G27" s="4"/>
      <c r="H27" s="4"/>
    </row>
    <row r="28" customFormat="false" ht="15" hidden="false" customHeight="true" outlineLevel="0" collapsed="false">
      <c r="B28" s="16" t="s">
        <v>32</v>
      </c>
      <c r="C28" s="17" t="s">
        <v>33</v>
      </c>
      <c r="D28" s="17"/>
      <c r="E28" s="17"/>
      <c r="F28" s="17"/>
      <c r="G28" s="17"/>
      <c r="H28" s="17"/>
    </row>
    <row r="29" customFormat="false" ht="15" hidden="false" customHeight="true" outlineLevel="0" collapsed="false">
      <c r="B29" s="18" t="s">
        <v>34</v>
      </c>
      <c r="C29" s="17" t="s">
        <v>35</v>
      </c>
      <c r="D29" s="17"/>
      <c r="E29" s="17"/>
      <c r="F29" s="17"/>
      <c r="G29" s="17"/>
      <c r="H29" s="17"/>
    </row>
    <row r="30" customFormat="false" ht="15" hidden="false" customHeight="true" outlineLevel="0" collapsed="false">
      <c r="B30" s="19" t="s">
        <v>36</v>
      </c>
      <c r="C30" s="17" t="s">
        <v>37</v>
      </c>
      <c r="D30" s="17"/>
      <c r="E30" s="17"/>
      <c r="F30" s="17"/>
      <c r="G30" s="17"/>
      <c r="H30" s="17"/>
    </row>
    <row r="31" customFormat="false" ht="15" hidden="false" customHeight="true" outlineLevel="0" collapsed="false">
      <c r="B31" s="20" t="s">
        <v>38</v>
      </c>
      <c r="C31" s="17" t="s">
        <v>39</v>
      </c>
      <c r="D31" s="17"/>
      <c r="E31" s="17"/>
      <c r="F31" s="17"/>
      <c r="G31" s="17"/>
      <c r="H31" s="17"/>
    </row>
  </sheetData>
  <mergeCells count="26">
    <mergeCell ref="B1:H1"/>
    <mergeCell ref="B2:H2"/>
    <mergeCell ref="B4:H4"/>
    <mergeCell ref="C5:D5"/>
    <mergeCell ref="C6:D6"/>
    <mergeCell ref="C7:D7"/>
    <mergeCell ref="B9:H9"/>
    <mergeCell ref="C10:D10"/>
    <mergeCell ref="B12:H12"/>
    <mergeCell ref="C13:D13"/>
    <mergeCell ref="C14:D14"/>
    <mergeCell ref="C15:D15"/>
    <mergeCell ref="C16:D16"/>
    <mergeCell ref="B17:H17"/>
    <mergeCell ref="B19:H19"/>
    <mergeCell ref="C20:H20"/>
    <mergeCell ref="C21:H21"/>
    <mergeCell ref="C22:H22"/>
    <mergeCell ref="C23:H23"/>
    <mergeCell ref="C24:H24"/>
    <mergeCell ref="C25:H25"/>
    <mergeCell ref="B27:H27"/>
    <mergeCell ref="C28:H28"/>
    <mergeCell ref="C29:H29"/>
    <mergeCell ref="C30:H30"/>
    <mergeCell ref="C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9" min="9" style="1" width="14"/>
    <col collapsed="false" customWidth="true" hidden="false" outlineLevel="0" max="10" min="10" style="1" width="22"/>
  </cols>
  <sheetData>
    <row r="1" customFormat="false" ht="31.5" hidden="false" customHeight="true" outlineLevel="0" collapsed="false">
      <c r="B1" s="21" t="s">
        <v>40</v>
      </c>
      <c r="C1" s="21"/>
      <c r="D1" s="21"/>
      <c r="E1" s="21"/>
      <c r="F1" s="21"/>
      <c r="G1" s="21"/>
      <c r="H1" s="21"/>
      <c r="I1" s="21"/>
      <c r="J1" s="21"/>
    </row>
    <row r="2" customFormat="false" ht="27.75" hidden="false" customHeight="true" outlineLevel="0" collapsed="false">
      <c r="B2" s="22" t="s">
        <v>41</v>
      </c>
      <c r="C2" s="22"/>
      <c r="D2" s="22"/>
      <c r="E2" s="22"/>
      <c r="F2" s="22"/>
      <c r="G2" s="22"/>
      <c r="H2" s="22"/>
      <c r="I2" s="22"/>
      <c r="J2" s="22"/>
    </row>
    <row r="3" customFormat="false" ht="15" hidden="false" customHeight="true" outlineLevel="0" collapsed="false">
      <c r="B3" s="5" t="s">
        <v>10</v>
      </c>
      <c r="E3" s="9" t="n">
        <f aca="false">Overview!C10</f>
        <v>0</v>
      </c>
      <c r="F3" s="9"/>
      <c r="G3" s="23" t="s">
        <v>42</v>
      </c>
    </row>
    <row r="4" customFormat="false" ht="15" hidden="false" customHeight="true" outlineLevel="0" collapsed="false">
      <c r="B4" s="23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49</v>
      </c>
    </row>
    <row r="5" customFormat="false" ht="27.75" hidden="false" customHeight="true" outlineLevel="0" collapsed="false">
      <c r="B5" s="24" t="s">
        <v>50</v>
      </c>
      <c r="C5" s="24" t="s">
        <v>51</v>
      </c>
      <c r="D5" s="24" t="s">
        <v>44</v>
      </c>
      <c r="E5" s="24" t="s">
        <v>45</v>
      </c>
      <c r="F5" s="24" t="s">
        <v>46</v>
      </c>
      <c r="G5" s="24" t="s">
        <v>47</v>
      </c>
      <c r="H5" s="24" t="s">
        <v>48</v>
      </c>
      <c r="I5" s="24" t="s">
        <v>49</v>
      </c>
      <c r="J5" s="24" t="s">
        <v>52</v>
      </c>
      <c r="K5" s="24" t="s">
        <v>53</v>
      </c>
    </row>
    <row r="6" customFormat="false" ht="18" hidden="false" customHeight="true" outlineLevel="0" collapsed="false">
      <c r="B6" s="25" t="s">
        <v>54</v>
      </c>
      <c r="C6" s="26" t="s">
        <v>55</v>
      </c>
      <c r="D6" s="7"/>
      <c r="E6" s="7"/>
      <c r="F6" s="7"/>
      <c r="G6" s="7"/>
      <c r="H6" s="7"/>
      <c r="I6" s="7"/>
      <c r="J6" s="27" t="n">
        <f aca="false">SUM(D6:I6)</f>
        <v>0</v>
      </c>
      <c r="K6" s="28" t="n">
        <f aca="false">IFERROR(J6/Overview!C10,0)</f>
        <v>0</v>
      </c>
    </row>
    <row r="7" customFormat="false" ht="18" hidden="false" customHeight="true" outlineLevel="0" collapsed="false">
      <c r="B7" s="25" t="s">
        <v>56</v>
      </c>
      <c r="C7" s="26" t="s">
        <v>55</v>
      </c>
      <c r="D7" s="7"/>
      <c r="E7" s="7"/>
      <c r="F7" s="7"/>
      <c r="G7" s="7"/>
      <c r="H7" s="7"/>
      <c r="I7" s="7"/>
      <c r="J7" s="27" t="n">
        <f aca="false">SUM(D7:I7)</f>
        <v>0</v>
      </c>
      <c r="K7" s="28" t="n">
        <f aca="false">IFERROR(J7/Overview!C10,0)</f>
        <v>0</v>
      </c>
    </row>
    <row r="8" customFormat="false" ht="18" hidden="false" customHeight="true" outlineLevel="0" collapsed="false">
      <c r="B8" s="25" t="s">
        <v>57</v>
      </c>
      <c r="C8" s="26" t="s">
        <v>55</v>
      </c>
      <c r="D8" s="7"/>
      <c r="E8" s="7"/>
      <c r="F8" s="7"/>
      <c r="G8" s="7"/>
      <c r="H8" s="7"/>
      <c r="I8" s="7"/>
      <c r="J8" s="27" t="n">
        <f aca="false">SUM(D8:I8)</f>
        <v>0</v>
      </c>
      <c r="K8" s="28" t="n">
        <f aca="false">IFERROR(J8/Overview!C10,0)</f>
        <v>0</v>
      </c>
    </row>
    <row r="9" customFormat="false" ht="18" hidden="false" customHeight="true" outlineLevel="0" collapsed="false">
      <c r="B9" s="25" t="s">
        <v>58</v>
      </c>
      <c r="C9" s="26" t="s">
        <v>59</v>
      </c>
      <c r="D9" s="7"/>
      <c r="E9" s="7"/>
      <c r="F9" s="7"/>
      <c r="G9" s="7"/>
      <c r="H9" s="7"/>
      <c r="I9" s="7"/>
      <c r="J9" s="27" t="n">
        <f aca="false">SUM(D9:I9)</f>
        <v>0</v>
      </c>
      <c r="K9" s="28" t="n">
        <f aca="false">IFERROR(J9/Overview!C10,0)</f>
        <v>0</v>
      </c>
    </row>
    <row r="10" customFormat="false" ht="18" hidden="false" customHeight="true" outlineLevel="0" collapsed="false">
      <c r="B10" s="25" t="s">
        <v>60</v>
      </c>
      <c r="C10" s="26" t="s">
        <v>61</v>
      </c>
      <c r="D10" s="7"/>
      <c r="E10" s="7"/>
      <c r="F10" s="7"/>
      <c r="G10" s="7"/>
      <c r="H10" s="7"/>
      <c r="I10" s="7"/>
      <c r="J10" s="27" t="n">
        <f aca="false">SUM(D10:I10)</f>
        <v>0</v>
      </c>
      <c r="K10" s="28" t="n">
        <f aca="false">IFERROR(J10/Overview!C10,0)</f>
        <v>0</v>
      </c>
    </row>
    <row r="11" customFormat="false" ht="18" hidden="false" customHeight="true" outlineLevel="0" collapsed="false">
      <c r="B11" s="25" t="s">
        <v>62</v>
      </c>
      <c r="C11" s="26" t="s">
        <v>63</v>
      </c>
      <c r="D11" s="7"/>
      <c r="E11" s="7"/>
      <c r="F11" s="7"/>
      <c r="G11" s="7"/>
      <c r="H11" s="7"/>
      <c r="I11" s="7"/>
      <c r="J11" s="27" t="n">
        <f aca="false">SUM(D11:I11)</f>
        <v>0</v>
      </c>
      <c r="K11" s="28" t="n">
        <f aca="false">IFERROR(J11/Overview!C10,0)</f>
        <v>0</v>
      </c>
    </row>
    <row r="12" customFormat="false" ht="18" hidden="false" customHeight="true" outlineLevel="0" collapsed="false">
      <c r="B12" s="25" t="s">
        <v>64</v>
      </c>
      <c r="C12" s="26" t="s">
        <v>65</v>
      </c>
      <c r="D12" s="7"/>
      <c r="E12" s="7"/>
      <c r="F12" s="7"/>
      <c r="G12" s="7"/>
      <c r="H12" s="7"/>
      <c r="I12" s="7"/>
      <c r="J12" s="27" t="n">
        <f aca="false">SUM(D12:I12)</f>
        <v>0</v>
      </c>
      <c r="K12" s="28" t="n">
        <f aca="false">IFERROR(J12/Overview!C10,0)</f>
        <v>0</v>
      </c>
    </row>
    <row r="13" customFormat="false" ht="18" hidden="false" customHeight="true" outlineLevel="0" collapsed="false">
      <c r="B13" s="25" t="s">
        <v>66</v>
      </c>
      <c r="C13" s="26" t="s">
        <v>67</v>
      </c>
      <c r="D13" s="7"/>
      <c r="E13" s="7"/>
      <c r="F13" s="7"/>
      <c r="G13" s="7"/>
      <c r="H13" s="7"/>
      <c r="I13" s="7"/>
      <c r="J13" s="27" t="n">
        <f aca="false">SUM(D13:I13)</f>
        <v>0</v>
      </c>
      <c r="K13" s="28" t="n">
        <f aca="false">IFERROR(J13/Overview!C10,0)</f>
        <v>0</v>
      </c>
    </row>
    <row r="14" customFormat="false" ht="18" hidden="false" customHeight="true" outlineLevel="0" collapsed="false">
      <c r="B14" s="25" t="s">
        <v>68</v>
      </c>
      <c r="C14" s="26" t="s">
        <v>69</v>
      </c>
      <c r="D14" s="7"/>
      <c r="E14" s="7"/>
      <c r="F14" s="7"/>
      <c r="G14" s="7"/>
      <c r="H14" s="7"/>
      <c r="I14" s="7"/>
      <c r="J14" s="27" t="n">
        <f aca="false">SUM(D14:I14)</f>
        <v>0</v>
      </c>
      <c r="K14" s="28" t="n">
        <f aca="false">IFERROR(J14/Overview!C10,0)</f>
        <v>0</v>
      </c>
    </row>
    <row r="15" customFormat="false" ht="15" hidden="false" customHeight="true" outlineLevel="0" collapsed="false">
      <c r="B15" s="4" t="s">
        <v>70</v>
      </c>
      <c r="C15" s="4"/>
      <c r="D15" s="9" t="n">
        <f aca="false">SUM(D6:D14)</f>
        <v>0</v>
      </c>
      <c r="E15" s="9" t="n">
        <f aca="false">SUM(E6:E14)</f>
        <v>0</v>
      </c>
      <c r="F15" s="9" t="n">
        <f aca="false">SUM(F6:F14)</f>
        <v>0</v>
      </c>
      <c r="G15" s="9" t="n">
        <f aca="false">SUM(G6:G14)</f>
        <v>0</v>
      </c>
      <c r="H15" s="9" t="n">
        <f aca="false">SUM(H6:H14)</f>
        <v>0</v>
      </c>
      <c r="I15" s="9" t="n">
        <f aca="false">SUM(I6:I14)</f>
        <v>0</v>
      </c>
      <c r="J15" s="9" t="n">
        <f aca="false">SUM(J6:J14)</f>
        <v>0</v>
      </c>
      <c r="K15" s="10" t="n">
        <f aca="false">SUM(K6:K14)</f>
        <v>0</v>
      </c>
    </row>
    <row r="16" customFormat="false" ht="15" hidden="false" customHeight="true" outlineLevel="0" collapsed="false">
      <c r="B16" s="29" t="s">
        <v>71</v>
      </c>
      <c r="C16" s="29"/>
      <c r="D16" s="29"/>
      <c r="J16" s="9" t="n">
        <f aca="false">Overview!C10-J15</f>
        <v>0</v>
      </c>
      <c r="K16" s="30" t="s">
        <v>72</v>
      </c>
    </row>
  </sheetData>
  <mergeCells count="5">
    <mergeCell ref="B1:J1"/>
    <mergeCell ref="B2:J2"/>
    <mergeCell ref="E3:F3"/>
    <mergeCell ref="B15:C15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7" min="7" style="1" width="38"/>
  </cols>
  <sheetData>
    <row r="1" customFormat="false" ht="31.5" hidden="false" customHeight="true" outlineLevel="0" collapsed="false">
      <c r="B1" s="21" t="s">
        <v>73</v>
      </c>
      <c r="C1" s="21"/>
      <c r="D1" s="21"/>
      <c r="E1" s="21"/>
      <c r="F1" s="21"/>
      <c r="G1" s="21"/>
    </row>
    <row r="2" customFormat="false" ht="24" hidden="false" customHeight="true" outlineLevel="0" collapsed="false">
      <c r="B2" s="22" t="s">
        <v>74</v>
      </c>
      <c r="C2" s="22"/>
      <c r="D2" s="22"/>
      <c r="E2" s="22"/>
      <c r="F2" s="22"/>
      <c r="G2" s="22"/>
    </row>
    <row r="3" customFormat="false" ht="15" hidden="false" customHeight="true" outlineLevel="0" collapsed="false">
      <c r="B3" s="24" t="s">
        <v>75</v>
      </c>
      <c r="C3" s="24" t="s">
        <v>76</v>
      </c>
      <c r="D3" s="24" t="s">
        <v>77</v>
      </c>
      <c r="E3" s="24" t="s">
        <v>78</v>
      </c>
      <c r="F3" s="24" t="s">
        <v>79</v>
      </c>
      <c r="G3" s="24" t="s">
        <v>80</v>
      </c>
    </row>
    <row r="4" customFormat="false" ht="21.75" hidden="false" customHeight="true" outlineLevel="0" collapsed="false">
      <c r="B4" s="31" t="s">
        <v>81</v>
      </c>
      <c r="C4" s="31"/>
      <c r="D4" s="31"/>
      <c r="E4" s="31"/>
      <c r="F4" s="31"/>
      <c r="G4" s="31"/>
    </row>
    <row r="5" customFormat="false" ht="19.5" hidden="false" customHeight="true" outlineLevel="0" collapsed="false">
      <c r="B5" s="32" t="s">
        <v>82</v>
      </c>
      <c r="C5" s="32" t="s">
        <v>83</v>
      </c>
      <c r="D5" s="32" t="s">
        <v>84</v>
      </c>
      <c r="E5" s="32" t="s">
        <v>85</v>
      </c>
      <c r="F5" s="32" t="s">
        <v>86</v>
      </c>
      <c r="G5" s="32" t="s">
        <v>87</v>
      </c>
    </row>
    <row r="6" customFormat="false" ht="19.5" hidden="false" customHeight="true" outlineLevel="0" collapsed="false">
      <c r="B6" s="33" t="s">
        <v>82</v>
      </c>
      <c r="C6" s="33" t="s">
        <v>88</v>
      </c>
      <c r="D6" s="33" t="s">
        <v>89</v>
      </c>
      <c r="E6" s="33" t="s">
        <v>90</v>
      </c>
      <c r="F6" s="33" t="s">
        <v>91</v>
      </c>
      <c r="G6" s="33" t="s">
        <v>92</v>
      </c>
    </row>
    <row r="7" customFormat="false" ht="19.5" hidden="false" customHeight="true" outlineLevel="0" collapsed="false">
      <c r="B7" s="32" t="s">
        <v>82</v>
      </c>
      <c r="C7" s="32" t="s">
        <v>93</v>
      </c>
      <c r="D7" s="32" t="s">
        <v>94</v>
      </c>
      <c r="E7" s="32" t="s">
        <v>95</v>
      </c>
      <c r="F7" s="32" t="s">
        <v>96</v>
      </c>
      <c r="G7" s="32" t="s">
        <v>97</v>
      </c>
    </row>
    <row r="8" customFormat="false" ht="19.5" hidden="false" customHeight="true" outlineLevel="0" collapsed="false">
      <c r="B8" s="33" t="s">
        <v>56</v>
      </c>
      <c r="C8" s="33" t="s">
        <v>83</v>
      </c>
      <c r="D8" s="33" t="s">
        <v>98</v>
      </c>
      <c r="E8" s="33" t="s">
        <v>99</v>
      </c>
      <c r="F8" s="33" t="s">
        <v>95</v>
      </c>
      <c r="G8" s="33" t="s">
        <v>100</v>
      </c>
    </row>
    <row r="9" customFormat="false" ht="19.5" hidden="false" customHeight="true" outlineLevel="0" collapsed="false">
      <c r="B9" s="32" t="s">
        <v>56</v>
      </c>
      <c r="C9" s="32" t="s">
        <v>88</v>
      </c>
      <c r="D9" s="32" t="s">
        <v>96</v>
      </c>
      <c r="E9" s="32" t="s">
        <v>101</v>
      </c>
      <c r="F9" s="32" t="s">
        <v>102</v>
      </c>
      <c r="G9" s="32" t="s">
        <v>103</v>
      </c>
    </row>
    <row r="10" customFormat="false" ht="19.5" hidden="false" customHeight="true" outlineLevel="0" collapsed="false">
      <c r="B10" s="33" t="s">
        <v>56</v>
      </c>
      <c r="C10" s="33" t="s">
        <v>93</v>
      </c>
      <c r="D10" s="33" t="s">
        <v>104</v>
      </c>
      <c r="E10" s="33" t="s">
        <v>105</v>
      </c>
      <c r="F10" s="33" t="s">
        <v>106</v>
      </c>
      <c r="G10" s="33" t="s">
        <v>107</v>
      </c>
    </row>
    <row r="11" customFormat="false" ht="19.5" hidden="false" customHeight="true" outlineLevel="0" collapsed="false">
      <c r="B11" s="32" t="s">
        <v>57</v>
      </c>
      <c r="C11" s="32" t="s">
        <v>83</v>
      </c>
      <c r="D11" s="32" t="s">
        <v>108</v>
      </c>
      <c r="E11" s="32" t="s">
        <v>109</v>
      </c>
      <c r="F11" s="32" t="s">
        <v>110</v>
      </c>
      <c r="G11" s="32" t="s">
        <v>111</v>
      </c>
    </row>
    <row r="12" customFormat="false" ht="19.5" hidden="false" customHeight="true" outlineLevel="0" collapsed="false">
      <c r="B12" s="33" t="s">
        <v>64</v>
      </c>
      <c r="C12" s="33" t="s">
        <v>83</v>
      </c>
      <c r="D12" s="33" t="s">
        <v>98</v>
      </c>
      <c r="E12" s="33" t="s">
        <v>112</v>
      </c>
      <c r="F12" s="33" t="s">
        <v>113</v>
      </c>
      <c r="G12" s="33" t="s">
        <v>114</v>
      </c>
    </row>
    <row r="13" customFormat="false" ht="19.5" hidden="false" customHeight="true" outlineLevel="0" collapsed="false">
      <c r="B13" s="32" t="s">
        <v>115</v>
      </c>
      <c r="C13" s="32" t="s">
        <v>83</v>
      </c>
      <c r="D13" s="32" t="s">
        <v>94</v>
      </c>
      <c r="E13" s="32" t="s">
        <v>86</v>
      </c>
      <c r="F13" s="32" t="s">
        <v>116</v>
      </c>
      <c r="G13" s="32" t="s">
        <v>117</v>
      </c>
    </row>
    <row r="14" customFormat="false" ht="19.5" hidden="false" customHeight="true" outlineLevel="0" collapsed="false">
      <c r="B14" s="33" t="s">
        <v>118</v>
      </c>
      <c r="C14" s="33" t="s">
        <v>88</v>
      </c>
      <c r="D14" s="33" t="s">
        <v>119</v>
      </c>
      <c r="E14" s="33" t="s">
        <v>86</v>
      </c>
      <c r="F14" s="33" t="s">
        <v>120</v>
      </c>
      <c r="G14" s="33" t="s">
        <v>121</v>
      </c>
    </row>
    <row r="15" customFormat="false" ht="19.5" hidden="false" customHeight="true" outlineLevel="0" collapsed="false">
      <c r="B15" s="32" t="s">
        <v>122</v>
      </c>
      <c r="C15" s="32" t="s">
        <v>123</v>
      </c>
      <c r="D15" s="32" t="s">
        <v>124</v>
      </c>
      <c r="E15" s="32" t="s">
        <v>125</v>
      </c>
      <c r="F15" s="32" t="s">
        <v>126</v>
      </c>
      <c r="G15" s="32" t="s">
        <v>127</v>
      </c>
    </row>
    <row r="16" customFormat="false" ht="21.75" hidden="false" customHeight="true" outlineLevel="0" collapsed="false">
      <c r="B16" s="31" t="s">
        <v>128</v>
      </c>
      <c r="C16" s="31"/>
      <c r="D16" s="31"/>
      <c r="E16" s="31"/>
      <c r="F16" s="31"/>
      <c r="G16" s="31"/>
    </row>
    <row r="17" customFormat="false" ht="19.5" hidden="false" customHeight="true" outlineLevel="0" collapsed="false">
      <c r="B17" s="32" t="s">
        <v>129</v>
      </c>
      <c r="C17" s="32" t="s">
        <v>130</v>
      </c>
      <c r="D17" s="32" t="s">
        <v>131</v>
      </c>
      <c r="E17" s="32" t="s">
        <v>132</v>
      </c>
      <c r="F17" s="32" t="s">
        <v>133</v>
      </c>
      <c r="G17" s="32" t="s">
        <v>134</v>
      </c>
    </row>
    <row r="18" customFormat="false" ht="19.5" hidden="false" customHeight="true" outlineLevel="0" collapsed="false">
      <c r="B18" s="33" t="s">
        <v>135</v>
      </c>
      <c r="C18" s="33" t="s">
        <v>136</v>
      </c>
      <c r="D18" s="33" t="s">
        <v>137</v>
      </c>
      <c r="E18" s="33" t="s">
        <v>138</v>
      </c>
      <c r="F18" s="33" t="s">
        <v>139</v>
      </c>
      <c r="G18" s="33" t="s">
        <v>140</v>
      </c>
    </row>
    <row r="19" customFormat="false" ht="19.5" hidden="false" customHeight="true" outlineLevel="0" collapsed="false">
      <c r="B19" s="32" t="s">
        <v>141</v>
      </c>
      <c r="C19" s="32" t="s">
        <v>142</v>
      </c>
      <c r="D19" s="32" t="s">
        <v>143</v>
      </c>
      <c r="E19" s="32" t="s">
        <v>144</v>
      </c>
      <c r="F19" s="32" t="s">
        <v>145</v>
      </c>
      <c r="G19" s="32" t="s">
        <v>146</v>
      </c>
    </row>
    <row r="20" customFormat="false" ht="19.5" hidden="false" customHeight="true" outlineLevel="0" collapsed="false">
      <c r="B20" s="33" t="s">
        <v>147</v>
      </c>
      <c r="C20" s="33" t="s">
        <v>148</v>
      </c>
      <c r="D20" s="33" t="s">
        <v>69</v>
      </c>
      <c r="E20" s="33" t="s">
        <v>149</v>
      </c>
      <c r="F20" s="33" t="s">
        <v>69</v>
      </c>
      <c r="G20" s="33" t="s">
        <v>150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9" min="3" style="1" width="16"/>
    <col collapsed="false" customWidth="true" hidden="false" outlineLevel="0" max="10" min="10" style="1" width="22"/>
  </cols>
  <sheetData>
    <row r="1" customFormat="false" ht="36" hidden="false" customHeight="true" outlineLevel="0" collapsed="false">
      <c r="B1" s="21" t="s">
        <v>151</v>
      </c>
      <c r="C1" s="21"/>
      <c r="D1" s="21"/>
      <c r="E1" s="21"/>
      <c r="F1" s="21"/>
      <c r="G1" s="21"/>
      <c r="H1" s="21"/>
      <c r="I1" s="21"/>
      <c r="J1" s="21"/>
    </row>
    <row r="2" customFormat="false" ht="36" hidden="false" customHeight="true" outlineLevel="0" collapsed="false">
      <c r="B2" s="22" t="s">
        <v>152</v>
      </c>
      <c r="C2" s="22"/>
      <c r="D2" s="22"/>
      <c r="E2" s="22"/>
      <c r="F2" s="22"/>
      <c r="G2" s="22"/>
      <c r="H2" s="22"/>
      <c r="I2" s="22"/>
      <c r="J2" s="22"/>
    </row>
    <row r="4" customFormat="false" ht="15" hidden="false" customHeight="true" outlineLevel="0" collapsed="false">
      <c r="B4" s="4" t="s">
        <v>153</v>
      </c>
      <c r="C4" s="4"/>
      <c r="D4" s="4"/>
      <c r="E4" s="4"/>
      <c r="F4" s="4"/>
      <c r="G4" s="4"/>
      <c r="H4" s="4"/>
      <c r="I4" s="4"/>
      <c r="J4" s="4"/>
    </row>
    <row r="5" customFormat="false" ht="19.5" hidden="false" customHeight="true" outlineLevel="0" collapsed="false">
      <c r="B5" s="34" t="s">
        <v>154</v>
      </c>
      <c r="C5" s="34"/>
      <c r="D5" s="34"/>
      <c r="E5" s="7" t="n">
        <v>350</v>
      </c>
      <c r="F5" s="7"/>
    </row>
    <row r="6" customFormat="false" ht="19.5" hidden="false" customHeight="true" outlineLevel="0" collapsed="false">
      <c r="B6" s="34" t="s">
        <v>155</v>
      </c>
      <c r="C6" s="34"/>
      <c r="D6" s="34"/>
      <c r="E6" s="7" t="n">
        <v>27.5</v>
      </c>
      <c r="F6" s="7"/>
    </row>
    <row r="7" customFormat="false" ht="19.5" hidden="false" customHeight="true" outlineLevel="0" collapsed="false">
      <c r="B7" s="34" t="s">
        <v>156</v>
      </c>
      <c r="C7" s="34"/>
      <c r="D7" s="34"/>
      <c r="E7" s="7" t="n">
        <v>50</v>
      </c>
      <c r="F7" s="7"/>
    </row>
    <row r="8" customFormat="false" ht="19.5" hidden="false" customHeight="true" outlineLevel="0" collapsed="false">
      <c r="B8" s="34" t="s">
        <v>157</v>
      </c>
      <c r="C8" s="34"/>
      <c r="D8" s="34"/>
      <c r="E8" s="27" t="n">
        <f aca="false">E5-E7</f>
        <v>300</v>
      </c>
      <c r="F8" s="27"/>
    </row>
    <row r="9" customFormat="false" ht="19.5" hidden="false" customHeight="true" outlineLevel="0" collapsed="false">
      <c r="B9" s="34" t="s">
        <v>158</v>
      </c>
      <c r="C9" s="34"/>
      <c r="D9" s="34"/>
      <c r="E9" s="7" t="n">
        <v>2</v>
      </c>
      <c r="F9" s="7"/>
    </row>
    <row r="10" customFormat="false" ht="19.5" hidden="false" customHeight="true" outlineLevel="0" collapsed="false">
      <c r="B10" s="34" t="s">
        <v>159</v>
      </c>
      <c r="C10" s="34"/>
      <c r="D10" s="34"/>
      <c r="E10" s="27" t="n">
        <f aca="false">E6-E9</f>
        <v>25.5</v>
      </c>
      <c r="F10" s="27"/>
    </row>
    <row r="12" customFormat="false" ht="15" hidden="false" customHeight="true" outlineLevel="0" collapsed="false">
      <c r="B12" s="4" t="s">
        <v>160</v>
      </c>
      <c r="C12" s="4"/>
      <c r="D12" s="4"/>
      <c r="E12" s="4"/>
      <c r="F12" s="4"/>
      <c r="G12" s="4"/>
      <c r="H12" s="4"/>
      <c r="I12" s="4"/>
      <c r="J12" s="4"/>
    </row>
    <row r="13" customFormat="false" ht="24" hidden="false" customHeight="true" outlineLevel="0" collapsed="false">
      <c r="B13" s="22" t="s">
        <v>161</v>
      </c>
      <c r="C13" s="22"/>
      <c r="D13" s="22"/>
      <c r="E13" s="22"/>
      <c r="F13" s="22"/>
      <c r="G13" s="22"/>
      <c r="H13" s="22"/>
      <c r="I13" s="22"/>
      <c r="J13" s="22"/>
    </row>
    <row r="14" customFormat="false" ht="31.5" hidden="false" customHeight="true" outlineLevel="0" collapsed="false">
      <c r="B14" s="24" t="s">
        <v>50</v>
      </c>
      <c r="C14" s="24" t="s">
        <v>162</v>
      </c>
      <c r="D14" s="24" t="s">
        <v>163</v>
      </c>
      <c r="E14" s="24" t="s">
        <v>164</v>
      </c>
      <c r="F14" s="24" t="s">
        <v>165</v>
      </c>
      <c r="G14" s="24" t="s">
        <v>166</v>
      </c>
      <c r="H14" s="24" t="s">
        <v>167</v>
      </c>
      <c r="I14" s="24" t="s">
        <v>168</v>
      </c>
    </row>
    <row r="15" customFormat="false" ht="18" hidden="false" customHeight="true" outlineLevel="0" collapsed="false">
      <c r="B15" s="25" t="s">
        <v>54</v>
      </c>
      <c r="C15" s="7"/>
      <c r="D15" s="7"/>
      <c r="E15" s="35" t="n">
        <f aca="false">IFERROR(C15/D15,0)</f>
        <v>0</v>
      </c>
      <c r="F15" s="36" t="n">
        <v>0.3</v>
      </c>
      <c r="G15" s="35" t="n">
        <f aca="false">IFERROR(ROUND(E15*F15,0),0)</f>
        <v>0</v>
      </c>
      <c r="H15" s="37" t="n">
        <v>20</v>
      </c>
      <c r="I15" s="35" t="n">
        <f aca="false">G15*H15</f>
        <v>0</v>
      </c>
    </row>
    <row r="16" customFormat="false" ht="18" hidden="false" customHeight="true" outlineLevel="0" collapsed="false">
      <c r="B16" s="25" t="s">
        <v>56</v>
      </c>
      <c r="C16" s="7"/>
      <c r="D16" s="7"/>
      <c r="E16" s="35" t="n">
        <f aca="false">IFERROR(C16/D16,0)</f>
        <v>0</v>
      </c>
      <c r="F16" s="36" t="n">
        <v>0.3</v>
      </c>
      <c r="G16" s="35" t="n">
        <f aca="false">IFERROR(ROUND(E16*F16,0),0)</f>
        <v>0</v>
      </c>
      <c r="H16" s="37" t="n">
        <v>20</v>
      </c>
      <c r="I16" s="35" t="n">
        <f aca="false">G16*H16</f>
        <v>0</v>
      </c>
    </row>
    <row r="17" customFormat="false" ht="18" hidden="false" customHeight="true" outlineLevel="0" collapsed="false">
      <c r="B17" s="25" t="s">
        <v>57</v>
      </c>
      <c r="C17" s="7"/>
      <c r="D17" s="7"/>
      <c r="E17" s="35" t="n">
        <f aca="false">IFERROR(C17/D17,0)</f>
        <v>0</v>
      </c>
      <c r="F17" s="36" t="n">
        <v>0.3</v>
      </c>
      <c r="G17" s="35" t="n">
        <f aca="false">IFERROR(ROUND(E17*F17,0),0)</f>
        <v>0</v>
      </c>
      <c r="H17" s="37" t="n">
        <v>20</v>
      </c>
      <c r="I17" s="35" t="n">
        <f aca="false">G17*H17</f>
        <v>0</v>
      </c>
    </row>
    <row r="18" customFormat="false" ht="18" hidden="false" customHeight="true" outlineLevel="0" collapsed="false">
      <c r="B18" s="25" t="s">
        <v>64</v>
      </c>
      <c r="C18" s="7"/>
      <c r="D18" s="7"/>
      <c r="E18" s="35" t="n">
        <f aca="false">IFERROR(C18/D18,0)</f>
        <v>0</v>
      </c>
      <c r="F18" s="36" t="n">
        <v>0.3</v>
      </c>
      <c r="G18" s="35" t="n">
        <f aca="false">IFERROR(ROUND(E18*F18,0),0)</f>
        <v>0</v>
      </c>
      <c r="H18" s="37" t="n">
        <v>20</v>
      </c>
      <c r="I18" s="35" t="n">
        <f aca="false">G18*H18</f>
        <v>0</v>
      </c>
    </row>
    <row r="19" customFormat="false" ht="18" hidden="false" customHeight="true" outlineLevel="0" collapsed="false">
      <c r="B19" s="25" t="s">
        <v>115</v>
      </c>
      <c r="C19" s="7"/>
      <c r="D19" s="7"/>
      <c r="E19" s="35" t="n">
        <f aca="false">IFERROR(C19/D19,0)</f>
        <v>0</v>
      </c>
      <c r="F19" s="36" t="n">
        <v>0.3</v>
      </c>
      <c r="G19" s="35" t="n">
        <f aca="false">IFERROR(ROUND(E19*F19,0),0)</f>
        <v>0</v>
      </c>
      <c r="H19" s="37" t="n">
        <v>20</v>
      </c>
      <c r="I19" s="35" t="n">
        <f aca="false">G19*H19</f>
        <v>0</v>
      </c>
    </row>
    <row r="20" customFormat="false" ht="18" hidden="false" customHeight="true" outlineLevel="0" collapsed="false">
      <c r="B20" s="25" t="s">
        <v>62</v>
      </c>
      <c r="C20" s="7"/>
      <c r="D20" s="7"/>
      <c r="E20" s="35" t="n">
        <f aca="false">IFERROR(C20/D20,0)</f>
        <v>0</v>
      </c>
      <c r="F20" s="36" t="n">
        <v>0.3</v>
      </c>
      <c r="G20" s="35" t="n">
        <f aca="false">IFERROR(ROUND(E20*F20,0),0)</f>
        <v>0</v>
      </c>
      <c r="H20" s="37" t="n">
        <v>20</v>
      </c>
      <c r="I20" s="35" t="n">
        <f aca="false">G20*H20</f>
        <v>0</v>
      </c>
    </row>
    <row r="21" customFormat="false" ht="19.5" hidden="false" customHeight="true" outlineLevel="0" collapsed="false">
      <c r="B21" s="38" t="s">
        <v>169</v>
      </c>
      <c r="C21" s="9" t="n">
        <f aca="false">SUM(C15:C20)</f>
        <v>0</v>
      </c>
      <c r="E21" s="39" t="n">
        <f aca="false">SUM(E15:E20)</f>
        <v>0</v>
      </c>
      <c r="G21" s="39" t="n">
        <f aca="false">SUM(G15:G20)</f>
        <v>0</v>
      </c>
      <c r="I21" s="39" t="n">
        <f aca="false">SUM(I15:I20)</f>
        <v>0</v>
      </c>
    </row>
    <row r="23" customFormat="false" ht="15" hidden="false" customHeight="true" outlineLevel="0" collapsed="false">
      <c r="B23" s="4" t="s">
        <v>170</v>
      </c>
      <c r="C23" s="4"/>
      <c r="D23" s="4"/>
      <c r="E23" s="4"/>
      <c r="F23" s="4"/>
      <c r="G23" s="4"/>
      <c r="H23" s="4"/>
      <c r="I23" s="4"/>
      <c r="J23" s="4"/>
    </row>
    <row r="24" customFormat="false" ht="24" hidden="false" customHeight="true" outlineLevel="0" collapsed="false">
      <c r="B24" s="22" t="s">
        <v>171</v>
      </c>
      <c r="C24" s="22"/>
      <c r="D24" s="22"/>
      <c r="E24" s="22"/>
      <c r="F24" s="22"/>
      <c r="G24" s="22"/>
      <c r="H24" s="22"/>
      <c r="I24" s="22"/>
      <c r="J24" s="22"/>
    </row>
    <row r="25" customFormat="false" ht="24" hidden="false" customHeight="true" outlineLevel="0" collapsed="false">
      <c r="B25" s="24" t="s">
        <v>76</v>
      </c>
      <c r="C25" s="24" t="s">
        <v>172</v>
      </c>
      <c r="D25" s="24" t="s">
        <v>173</v>
      </c>
      <c r="E25" s="24" t="s">
        <v>174</v>
      </c>
      <c r="F25" s="24" t="s">
        <v>80</v>
      </c>
    </row>
    <row r="26" customFormat="false" ht="15" hidden="false" customHeight="true" outlineLevel="0" collapsed="false">
      <c r="B26" s="40" t="s">
        <v>175</v>
      </c>
      <c r="C26" s="35" t="n">
        <f aca="false">I21</f>
        <v>0</v>
      </c>
      <c r="D26" s="35" t="n">
        <f aca="false">I21</f>
        <v>0</v>
      </c>
      <c r="E26" s="35" t="n">
        <f aca="false">I21</f>
        <v>0</v>
      </c>
      <c r="F26" s="8" t="s">
        <v>176</v>
      </c>
    </row>
    <row r="27" customFormat="false" ht="15" hidden="false" customHeight="true" outlineLevel="0" collapsed="false">
      <c r="B27" s="40" t="s">
        <v>177</v>
      </c>
      <c r="C27" s="36" t="n">
        <v>0.02</v>
      </c>
      <c r="D27" s="36" t="n">
        <v>0.05</v>
      </c>
      <c r="E27" s="36" t="n">
        <v>0.08</v>
      </c>
      <c r="F27" s="8" t="s">
        <v>178</v>
      </c>
    </row>
    <row r="28" customFormat="false" ht="18" hidden="false" customHeight="true" outlineLevel="0" collapsed="false">
      <c r="B28" s="40" t="s">
        <v>179</v>
      </c>
      <c r="C28" s="35" t="n">
        <f aca="false">ROUND(C26*C27,0)</f>
        <v>0</v>
      </c>
      <c r="D28" s="35" t="n">
        <f aca="false">ROUND(D26*D27,0)</f>
        <v>0</v>
      </c>
      <c r="E28" s="35" t="n">
        <f aca="false">ROUND(E26*E27,0)</f>
        <v>0</v>
      </c>
      <c r="F28" s="8" t="s">
        <v>180</v>
      </c>
    </row>
    <row r="29" customFormat="false" ht="18" hidden="false" customHeight="true" outlineLevel="0" collapsed="false">
      <c r="B29" s="40" t="s">
        <v>181</v>
      </c>
      <c r="C29" s="27" t="n">
        <f aca="false">C28*E5</f>
        <v>0</v>
      </c>
      <c r="D29" s="27" t="n">
        <f aca="false">D28*E5</f>
        <v>0</v>
      </c>
      <c r="E29" s="27" t="n">
        <f aca="false">E28*E5</f>
        <v>0</v>
      </c>
      <c r="F29" s="8" t="s">
        <v>182</v>
      </c>
    </row>
    <row r="30" customFormat="false" ht="18" hidden="false" customHeight="true" outlineLevel="0" collapsed="false">
      <c r="B30" s="40" t="s">
        <v>183</v>
      </c>
      <c r="C30" s="27" t="n">
        <f aca="false">C28*E7</f>
        <v>0</v>
      </c>
      <c r="D30" s="27" t="n">
        <f aca="false">D28*E7</f>
        <v>0</v>
      </c>
      <c r="E30" s="27" t="n">
        <f aca="false">E28*E7</f>
        <v>0</v>
      </c>
      <c r="F30" s="8" t="s">
        <v>184</v>
      </c>
    </row>
    <row r="31" customFormat="false" ht="18" hidden="false" customHeight="true" outlineLevel="0" collapsed="false">
      <c r="B31" s="40" t="s">
        <v>185</v>
      </c>
      <c r="C31" s="27" t="n">
        <f aca="false">C29-C30</f>
        <v>0</v>
      </c>
      <c r="D31" s="27" t="n">
        <f aca="false">D29-D30</f>
        <v>0</v>
      </c>
      <c r="E31" s="27" t="n">
        <f aca="false">E29-E30</f>
        <v>0</v>
      </c>
      <c r="F31" s="8" t="s">
        <v>186</v>
      </c>
    </row>
    <row r="32" customFormat="false" ht="18" hidden="false" customHeight="true" outlineLevel="0" collapsed="false">
      <c r="B32" s="40" t="s">
        <v>187</v>
      </c>
      <c r="C32" s="35" t="n">
        <f aca="false">C28</f>
        <v>0</v>
      </c>
      <c r="D32" s="35" t="n">
        <f aca="false">D28</f>
        <v>0</v>
      </c>
      <c r="E32" s="35" t="n">
        <f aca="false">E28</f>
        <v>0</v>
      </c>
      <c r="F32" s="8" t="s">
        <v>188</v>
      </c>
    </row>
    <row r="33" customFormat="false" ht="18" hidden="false" customHeight="true" outlineLevel="0" collapsed="false">
      <c r="B33" s="40" t="s">
        <v>189</v>
      </c>
      <c r="C33" s="27" t="n">
        <f aca="false">C32*E10</f>
        <v>0</v>
      </c>
      <c r="D33" s="27" t="n">
        <f aca="false">D32*E10</f>
        <v>0</v>
      </c>
      <c r="E33" s="27" t="n">
        <f aca="false">E32*E10</f>
        <v>0</v>
      </c>
      <c r="F33" s="8" t="s">
        <v>190</v>
      </c>
    </row>
    <row r="34" customFormat="false" ht="18" hidden="false" customHeight="true" outlineLevel="0" collapsed="false">
      <c r="B34" s="40" t="s">
        <v>191</v>
      </c>
      <c r="C34" s="27" t="n">
        <f aca="false">ROUND(C33*6*(1-0.05^6)/(1-0.05),0)</f>
        <v>0</v>
      </c>
      <c r="D34" s="27" t="n">
        <f aca="false">ROUND(D33*6*(1-0.05^6)/(1-0.05),0)</f>
        <v>0</v>
      </c>
      <c r="E34" s="27" t="n">
        <f aca="false">ROUND(E33*6*(1-0.05^6)/(1-0.05),0)</f>
        <v>0</v>
      </c>
      <c r="F34" s="8" t="s">
        <v>192</v>
      </c>
    </row>
    <row r="35" customFormat="false" ht="18" hidden="false" customHeight="true" outlineLevel="0" collapsed="false">
      <c r="B35" s="40" t="s">
        <v>193</v>
      </c>
      <c r="C35" s="27" t="n">
        <f aca="false">C31*6</f>
        <v>0</v>
      </c>
      <c r="D35" s="27" t="n">
        <f aca="false">D31*6</f>
        <v>0</v>
      </c>
      <c r="E35" s="27" t="n">
        <f aca="false">E31*6</f>
        <v>0</v>
      </c>
      <c r="F35" s="8" t="s">
        <v>194</v>
      </c>
    </row>
    <row r="36" customFormat="false" ht="18" hidden="false" customHeight="true" outlineLevel="0" collapsed="false">
      <c r="B36" s="40" t="s">
        <v>195</v>
      </c>
      <c r="C36" s="27" t="n">
        <f aca="false">C34*3</f>
        <v>0</v>
      </c>
      <c r="D36" s="27" t="n">
        <f aca="false">D34*3</f>
        <v>0</v>
      </c>
      <c r="E36" s="27" t="n">
        <f aca="false">E34*3</f>
        <v>0</v>
      </c>
      <c r="F36" s="8" t="s">
        <v>196</v>
      </c>
    </row>
    <row r="37" customFormat="false" ht="18" hidden="false" customHeight="true" outlineLevel="0" collapsed="false">
      <c r="B37" s="41" t="s">
        <v>197</v>
      </c>
      <c r="C37" s="42" t="n">
        <f aca="false">C35+C36</f>
        <v>0</v>
      </c>
      <c r="D37" s="42" t="n">
        <f aca="false">D35+D36</f>
        <v>0</v>
      </c>
      <c r="E37" s="42" t="n">
        <f aca="false">E35+E36</f>
        <v>0</v>
      </c>
      <c r="F37" s="43" t="s">
        <v>198</v>
      </c>
    </row>
    <row r="39" customFormat="false" ht="15" hidden="false" customHeight="true" outlineLevel="0" collapsed="false">
      <c r="B39" s="4" t="s">
        <v>199</v>
      </c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true" outlineLevel="0" collapsed="false">
      <c r="B40" s="24" t="s">
        <v>76</v>
      </c>
      <c r="C40" s="24" t="s">
        <v>200</v>
      </c>
      <c r="D40" s="24" t="s">
        <v>201</v>
      </c>
      <c r="E40" s="24" t="s">
        <v>202</v>
      </c>
      <c r="F40" s="24" t="s">
        <v>80</v>
      </c>
    </row>
    <row r="41" customFormat="false" ht="18" hidden="false" customHeight="true" outlineLevel="0" collapsed="false">
      <c r="B41" s="40" t="s">
        <v>203</v>
      </c>
      <c r="C41" s="27" t="n">
        <f aca="false">C21</f>
        <v>0</v>
      </c>
      <c r="D41" s="27" t="n">
        <f aca="false">I20</f>
        <v>0</v>
      </c>
      <c r="E41" s="27" t="n">
        <f aca="false">I20</f>
        <v>0</v>
      </c>
      <c r="F41" s="8" t="s">
        <v>204</v>
      </c>
    </row>
    <row r="42" customFormat="false" ht="18" hidden="false" customHeight="true" outlineLevel="0" collapsed="false">
      <c r="B42" s="40" t="s">
        <v>179</v>
      </c>
      <c r="C42" s="35" t="n">
        <f aca="false">C28</f>
        <v>0</v>
      </c>
      <c r="D42" s="35" t="n">
        <f aca="false">D28</f>
        <v>0</v>
      </c>
      <c r="E42" s="35" t="n">
        <f aca="false">E28</f>
        <v>0</v>
      </c>
      <c r="F42" s="8" t="s">
        <v>205</v>
      </c>
    </row>
    <row r="43" customFormat="false" ht="18" hidden="false" customHeight="true" outlineLevel="0" collapsed="false">
      <c r="B43" s="40" t="s">
        <v>206</v>
      </c>
      <c r="C43" s="27" t="n">
        <f aca="false">IFERROR(C41/C42,0)</f>
        <v>0</v>
      </c>
      <c r="D43" s="27" t="n">
        <f aca="false">IFERROR(C41/D42,0)</f>
        <v>0</v>
      </c>
      <c r="E43" s="27" t="n">
        <f aca="false">IFERROR(C41/E42,0)</f>
        <v>0</v>
      </c>
      <c r="F43" s="8" t="s">
        <v>207</v>
      </c>
    </row>
    <row r="44" customFormat="false" ht="18" hidden="false" customHeight="true" outlineLevel="0" collapsed="false">
      <c r="B44" s="40" t="s">
        <v>208</v>
      </c>
      <c r="C44" s="27" t="n">
        <f aca="false">E7</f>
        <v>50</v>
      </c>
      <c r="D44" s="27" t="n">
        <f aca="false">E7</f>
        <v>50</v>
      </c>
      <c r="E44" s="27" t="n">
        <f aca="false">E7</f>
        <v>50</v>
      </c>
      <c r="F44" s="8" t="s">
        <v>209</v>
      </c>
    </row>
    <row r="45" customFormat="false" ht="18" hidden="false" customHeight="true" outlineLevel="0" collapsed="false">
      <c r="B45" s="40" t="s">
        <v>210</v>
      </c>
      <c r="C45" s="27" t="n">
        <f aca="false">C43+C44</f>
        <v>50</v>
      </c>
      <c r="D45" s="27" t="n">
        <f aca="false">C43+D44</f>
        <v>50</v>
      </c>
      <c r="E45" s="27" t="n">
        <f aca="false">C43+E44</f>
        <v>50</v>
      </c>
      <c r="F45" s="8" t="s">
        <v>211</v>
      </c>
    </row>
    <row r="46" customFormat="false" ht="18" hidden="false" customHeight="true" outlineLevel="0" collapsed="false">
      <c r="B46" s="40" t="s">
        <v>212</v>
      </c>
      <c r="C46" s="27" t="n">
        <f aca="false">E5</f>
        <v>350</v>
      </c>
      <c r="D46" s="27" t="n">
        <f aca="false">E5</f>
        <v>350</v>
      </c>
      <c r="E46" s="27" t="n">
        <f aca="false">E5</f>
        <v>350</v>
      </c>
      <c r="F46" s="8" t="s">
        <v>213</v>
      </c>
    </row>
    <row r="47" customFormat="false" ht="18" hidden="false" customHeight="true" outlineLevel="0" collapsed="false">
      <c r="B47" s="41" t="s">
        <v>214</v>
      </c>
      <c r="C47" s="42" t="n">
        <f aca="false">C46-C45</f>
        <v>300</v>
      </c>
      <c r="D47" s="42" t="n">
        <f aca="false">D46-D45</f>
        <v>300</v>
      </c>
      <c r="E47" s="42" t="n">
        <f aca="false">E46-E45</f>
        <v>300</v>
      </c>
      <c r="F47" s="8" t="s">
        <v>215</v>
      </c>
    </row>
  </sheetData>
  <mergeCells count="20">
    <mergeCell ref="B1:J1"/>
    <mergeCell ref="B2:J2"/>
    <mergeCell ref="B4:J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2:J12"/>
    <mergeCell ref="B13:J13"/>
    <mergeCell ref="B23:J23"/>
    <mergeCell ref="B24:J24"/>
    <mergeCell ref="B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2026-03-24T15:07:40Z</dcterms:created>
  <dc:creator>openpyxl</dc:creator>
  <dc:description/>
  <dc:language>en-US</dc:language>
  <cp:lastModifiedBy/>
  <dcterms:modified xsi:type="dcterms:W3CDTF">2026-03-24T15:08:15Z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