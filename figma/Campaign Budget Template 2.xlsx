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Budget Planner" sheetId="2" state="visible" r:id="rId4"/>
    <sheet name="Cost Guide" sheetId="3" state="visible" r:id="rId5"/>
    <sheet name="ROI Calculator"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<sst xmlns="http://schemas.openxmlformats.org/spreadsheetml/2006/main" count="349" uniqueCount="257">
  <si>
    <t xml:space="preserve">  CAMPAIGN BUDGET PLANNER  |  Student Template</t>
  </si>
  <si>
    <t xml:space="preserve">  Complete all yellow cells. Formulas are pre-built - do not edit black cells.</t>
  </si>
  <si>
    <t xml:space="preserve">  STEP 1 - CAMPAIGN DETAILS</t>
  </si>
  <si>
    <t xml:space="preserve">Campaign Name:</t>
  </si>
  <si>
    <t xml:space="preserve">e.g. Summer Launch 2025</t>
  </si>
  <si>
    <t xml:space="preserve">Client / Brand:</t>
  </si>
  <si>
    <t xml:space="preserve">e.g. Acme Sports Ltd</t>
  </si>
  <si>
    <t xml:space="preserve">Campaign Start:</t>
  </si>
  <si>
    <t xml:space="preserve">DD/MM/YYYY</t>
  </si>
  <si>
    <t xml:space="preserve">Campaign End:</t>
  </si>
  <si>
    <t xml:space="preserve">Student Name(s):</t>
  </si>
  <si>
    <t xml:space="preserve">Full name(s) of all group members</t>
  </si>
  <si>
    <t xml:space="preserve">Student ID(s):</t>
  </si>
  <si>
    <t xml:space="preserve">e.g. 1234567, 7654321</t>
  </si>
  <si>
    <t xml:space="preserve">  STEP 2 - SET YOUR TOTAL CAMPAIGN BUDGET</t>
  </si>
  <si>
    <t xml:space="preserve">  TOTAL CAMPAIGN BUDGET (£):</t>
  </si>
  <si>
    <t xml:space="preserve">  Enter your total budget in cell E10 (above). This figure will be used automatically across all sheets.</t>
  </si>
  <si>
    <t xml:space="preserve">  STEP 3 - BUDGET HEALTH CHECK  (auto-calculated from Budget Planner)</t>
  </si>
  <si>
    <t xml:space="preserve">  Total Campaign Budget:</t>
  </si>
  <si>
    <t xml:space="preserve">  Total Budget Allocated:</t>
  </si>
  <si>
    <t xml:space="preserve">  Total Budget Remaining:</t>
  </si>
  <si>
    <t xml:space="preserve">  % of Budget Allocated:</t>
  </si>
  <si>
    <t xml:space="preserve">  WARNING: If the 'Total Budget Remaining' above is negative, you are OVER budget. Return to the Budget Planner and reduce your spend.</t>
  </si>
  <si>
    <t xml:space="preserve">  HOW TO USE THIS TEMPLATE</t>
  </si>
  <si>
    <t xml:space="preserve">STEP 1</t>
  </si>
  <si>
    <t xml:space="preserve">Fill in your Campaign Details above (rows 5-7). Use the yellow cells only.</t>
  </si>
  <si>
    <t xml:space="preserve">STEP 2</t>
  </si>
  <si>
    <t xml:space="preserve">Enter your Total Campaign Budget in cell E10. This could be set by your brief or lecturer.</t>
  </si>
  <si>
    <t xml:space="preserve">STEP 3</t>
  </si>
  <si>
    <t xml:space="preserve">Go to the 'Budget Planner' tab. Enter how much you plan to spend on each tactic each month. Only fill in the yellow cells - totals are calculated automatically.</t>
  </si>
  <si>
    <t xml:space="preserve">STEP 4</t>
  </si>
  <si>
    <t xml:space="preserve">Use the 'Cost Guide' tab to look up typical industry costs for different channels (e.g. how much a Facebook CPM costs, or an influencer post). Use these to justify your budget decisions.</t>
  </si>
  <si>
    <t xml:space="preserve">STEP 5</t>
  </si>
  <si>
    <t xml:space="preserve">Go to the 'ROI Calculator' tab. Fill in your estimated conversion rates and average customer value to project the return on investment for your campaign.</t>
  </si>
  <si>
    <t xml:space="preserve">TIP</t>
  </si>
  <si>
    <t xml:space="preserve">Always keep a Contingency budget (we recommend 5-10% of total). Campaigns rarely go exactly to plan!</t>
  </si>
  <si>
    <t xml:space="preserve">  COLOUR CODE LEGEND</t>
  </si>
  <si>
    <t xml:space="preserve">      Yellow cell / Blue text</t>
  </si>
  <si>
    <t xml:space="preserve">Input cell - fill this in yourself</t>
  </si>
  <si>
    <t xml:space="preserve">      Grey cell / Black text</t>
  </si>
  <si>
    <t xml:space="preserve">Formula cell - calculated automatically, do not edit</t>
  </si>
  <si>
    <t xml:space="preserve">      Green cell / Green text</t>
  </si>
  <si>
    <t xml:space="preserve">Summary cell - links data from another sheet</t>
  </si>
  <si>
    <t xml:space="preserve">      Orange cell / Red text</t>
  </si>
  <si>
    <t xml:space="preserve">Warning - action required</t>
  </si>
  <si>
    <t xml:space="preserve">  BUDGET PLANNER  |  Enter your monthly spend per tactic in the yellow cells</t>
  </si>
  <si>
    <t xml:space="preserve">Total Budget:</t>
  </si>
  <si>
    <t xml:space="preserve">  HOW TO USE: (1) Rename "Month 1", "Month 2" etc. in row 6 to your actual campaign months. (2) Enter your planned spend (£) for each tactic per month in the YELLOW cells. (3) Totals and percentages are calculated automatically. (4) Only add spend for tactics you are actually using - leave others blank.</t>
  </si>
  <si>
    <t xml:space="preserve">  COLOUR CODE: Yellow = your inputs (blue text) | Grey = formulas, do not edit (black text) | Blue highlight = totals</t>
  </si>
  <si>
    <t xml:space="preserve">Rename months below:</t>
  </si>
  <si>
    <t xml:space="preserve">Month 1</t>
  </si>
  <si>
    <t xml:space="preserve">Month 2</t>
  </si>
  <si>
    <t xml:space="preserve">Month 3</t>
  </si>
  <si>
    <t xml:space="preserve">Month 4</t>
  </si>
  <si>
    <t xml:space="preserve">Month 5</t>
  </si>
  <si>
    <t xml:space="preserve">Month 6</t>
  </si>
  <si>
    <t xml:space="preserve">Tactic / Activity</t>
  </si>
  <si>
    <t xml:space="preserve">Channel</t>
  </si>
  <si>
    <t xml:space="preserve">TOTAL SPEND (£)</t>
  </si>
  <si>
    <t xml:space="preserve">% of Budget</t>
  </si>
  <si>
    <t xml:space="preserve">Notes / Justification</t>
  </si>
  <si>
    <t xml:space="preserve">Paid Social - Facebook / Instagram</t>
  </si>
  <si>
    <t xml:space="preserve">Social Media</t>
  </si>
  <si>
    <t xml:space="preserve">Paid Social - TikTok</t>
  </si>
  <si>
    <t xml:space="preserve">Paid Social - LinkedIn</t>
  </si>
  <si>
    <t xml:space="preserve">Paid Social - X (Twitter)</t>
  </si>
  <si>
    <t xml:space="preserve">Google Search Ads (PPC)</t>
  </si>
  <si>
    <t xml:space="preserve">Search</t>
  </si>
  <si>
    <t xml:space="preserve">Google Display Network</t>
  </si>
  <si>
    <t xml:space="preserve">Display</t>
  </si>
  <si>
    <t xml:space="preserve">YouTube Advertising</t>
  </si>
  <si>
    <t xml:space="preserve">Video</t>
  </si>
  <si>
    <t xml:space="preserve">Influencer - Mega (1M+ followers)</t>
  </si>
  <si>
    <t xml:space="preserve">Influencer</t>
  </si>
  <si>
    <t xml:space="preserve">Influencer - Macro (100K - 1M)</t>
  </si>
  <si>
    <t xml:space="preserve">Influencer - Micro (10K - 100K)</t>
  </si>
  <si>
    <t xml:space="preserve">Email Marketing</t>
  </si>
  <si>
    <t xml:space="preserve">Direct</t>
  </si>
  <si>
    <t xml:space="preserve">Content Creation (Photo / Video)</t>
  </si>
  <si>
    <t xml:space="preserve">Production</t>
  </si>
  <si>
    <t xml:space="preserve">PR &amp; Media Relations</t>
  </si>
  <si>
    <t xml:space="preserve">PR</t>
  </si>
  <si>
    <t xml:space="preserve">Out-of-Home (OOH) / Billboards</t>
  </si>
  <si>
    <t xml:space="preserve">OOH</t>
  </si>
  <si>
    <t xml:space="preserve">Radio / Podcast Advertising</t>
  </si>
  <si>
    <t xml:space="preserve">Audio</t>
  </si>
  <si>
    <t xml:space="preserve">Events &amp; Experiential</t>
  </si>
  <si>
    <t xml:space="preserve">Events</t>
  </si>
  <si>
    <t xml:space="preserve">Contingency / Reserve (recommended 5-10%)</t>
  </si>
  <si>
    <t xml:space="preserve">Reserve</t>
  </si>
  <si>
    <t xml:space="preserve">[ADD YOUR OWN TACTIC HERE]</t>
  </si>
  <si>
    <t xml:space="preserve">-</t>
  </si>
  <si>
    <t xml:space="preserve">TOTAL</t>
  </si>
  <si>
    <t xml:space="preserve">Sum of all tactics</t>
  </si>
  <si>
    <t xml:space="preserve">  REMAINING BUDGET (must be £0 or positive):</t>
  </si>
  <si>
    <t xml:space="preserve">If this is negative, you are over budget!</t>
  </si>
  <si>
    <t xml:space="preserve">  REMINDER: Use the Cost Guide tab to find average industry costs to inform your spending decisions. Use the Notes column to justify why you allocated budget to each tactic.</t>
  </si>
  <si>
    <t xml:space="preserve">  INDUSTRY AVERAGE COST GUIDE  |  Use these figures to help plan and justify your budget</t>
  </si>
  <si>
    <t xml:space="preserve">  These are approximate UK market averages. Actual costs vary depending on targeting, competition, seasonality, and whether you are working with an agency. Use the MID estimate as your default planning figure.</t>
  </si>
  <si>
    <t xml:space="preserve">Channel / Platform</t>
  </si>
  <si>
    <t xml:space="preserve">Metric</t>
  </si>
  <si>
    <t xml:space="preserve">LOW Estimate</t>
  </si>
  <si>
    <t xml:space="preserve">MID Estimate
(Use this)</t>
  </si>
  <si>
    <t xml:space="preserve">HIGH Estimate</t>
  </si>
  <si>
    <t xml:space="preserve">Unit</t>
  </si>
  <si>
    <t xml:space="preserve">Notes for Students</t>
  </si>
  <si>
    <t xml:space="preserve">  PAID SOCIAL MEDIA</t>
  </si>
  <si>
    <t xml:space="preserve">Facebook / Instagram Ads</t>
  </si>
  <si>
    <t xml:space="preserve">CPM</t>
  </si>
  <si>
    <t xml:space="preserve">Per 1,000 impressions</t>
  </si>
  <si>
    <t xml:space="preserve">Cost to show your ad to 1,000 people</t>
  </si>
  <si>
    <t xml:space="preserve">CPC</t>
  </si>
  <si>
    <t xml:space="preserve">Per click</t>
  </si>
  <si>
    <t xml:space="preserve">Cost each time someone clicks your ad</t>
  </si>
  <si>
    <t xml:space="preserve">CPL</t>
  </si>
  <si>
    <t xml:space="preserve">Per lead</t>
  </si>
  <si>
    <t xml:space="preserve">Cost per person who submits a lead form</t>
  </si>
  <si>
    <t xml:space="preserve">TikTok Ads</t>
  </si>
  <si>
    <t xml:space="preserve">Generally lower CPM than Meta for younger audiences</t>
  </si>
  <si>
    <t xml:space="preserve">LinkedIn Ads</t>
  </si>
  <si>
    <t xml:space="preserve">Premium B2B platform - higher costs, more professional targeting</t>
  </si>
  <si>
    <t xml:space="preserve">X (Twitter) Ads</t>
  </si>
  <si>
    <t xml:space="preserve">  SEARCH ADVERTISING</t>
  </si>
  <si>
    <t xml:space="preserve">Varies hugely by keyword competitiveness and industry</t>
  </si>
  <si>
    <t xml:space="preserve">Estimated cost per enquiry/sign-up</t>
  </si>
  <si>
    <t xml:space="preserve">  DISPLAY &amp; VIDEO</t>
  </si>
  <si>
    <t xml:space="preserve">Banner/image ads across websites</t>
  </si>
  <si>
    <t xml:space="preserve">YouTube Pre-Roll Ads</t>
  </si>
  <si>
    <t xml:space="preserve">CPV</t>
  </si>
  <si>
    <t xml:space="preserve">Per view</t>
  </si>
  <si>
    <t xml:space="preserve">Only charged when viewer watches 30s or clicks</t>
  </si>
  <si>
    <t xml:space="preserve">  INFLUENCER MARKETING</t>
  </si>
  <si>
    <t xml:space="preserve">Nano Influencer (1K-10K)</t>
  </si>
  <si>
    <t xml:space="preserve">Per post</t>
  </si>
  <si>
    <t xml:space="preserve">Per sponsored post</t>
  </si>
  <si>
    <t xml:space="preserve">High engagement rates, niche audiences</t>
  </si>
  <si>
    <t xml:space="preserve">Micro Influencer (10K-100K)</t>
  </si>
  <si>
    <t xml:space="preserve">Good balance of reach and authenticity</t>
  </si>
  <si>
    <t xml:space="preserve">Macro Influencer (100K-1M)</t>
  </si>
  <si>
    <t xml:space="preserve">Broad reach, less personal engagement</t>
  </si>
  <si>
    <t xml:space="preserve">Mega / Celebrity (1M+)</t>
  </si>
  <si>
    <t xml:space="preserve">Massive reach but very high cost</t>
  </si>
  <si>
    <t xml:space="preserve">  NOTE: All tiers - ~50% of post rate</t>
  </si>
  <si>
    <t xml:space="preserve">  EMAIL MARKETING</t>
  </si>
  <si>
    <t xml:space="preserve">Email Platform (e.g. Mailchimp)</t>
  </si>
  <si>
    <t xml:space="preserve">Per 1,000 sends</t>
  </si>
  <si>
    <t xml:space="preserve">Per 1,000 emails sent</t>
  </si>
  <si>
    <t xml:space="preserve">Costs vary by platform and list size</t>
  </si>
  <si>
    <t xml:space="preserve">Email Copywriting</t>
  </si>
  <si>
    <t xml:space="preserve">Per email</t>
  </si>
  <si>
    <t xml:space="preserve">Per email written</t>
  </si>
  <si>
    <t xml:space="preserve">If using a copywriter or agency</t>
  </si>
  <si>
    <t xml:space="preserve">  PUBLIC RELATIONS (PR)</t>
  </si>
  <si>
    <t xml:space="preserve">PR Agency Retainer</t>
  </si>
  <si>
    <t xml:space="preserve">Per month</t>
  </si>
  <si>
    <t xml:space="preserve">Monthly fee</t>
  </si>
  <si>
    <t xml:space="preserve">Smaller boutique agencies at the lower end</t>
  </si>
  <si>
    <t xml:space="preserve">Press Release (writing)</t>
  </si>
  <si>
    <t xml:space="preserve">Per release</t>
  </si>
  <si>
    <t xml:space="preserve">Per press release</t>
  </si>
  <si>
    <t xml:space="preserve">Writing and distribution costs</t>
  </si>
  <si>
    <t xml:space="preserve">  OUT-OF-HOME (OOH)</t>
  </si>
  <si>
    <t xml:space="preserve">48-sheet Billboard</t>
  </si>
  <si>
    <t xml:space="preserve">Per 2 weeks</t>
  </si>
  <si>
    <t xml:space="preserve">Per 2-week period</t>
  </si>
  <si>
    <t xml:space="preserve">Regional vs. city centre locations vary significantly</t>
  </si>
  <si>
    <t xml:space="preserve">6-sheet (Bus Shelter)</t>
  </si>
  <si>
    <t xml:space="preserve">Local bus shelter panels</t>
  </si>
  <si>
    <t xml:space="preserve">Digital OOH Screen</t>
  </si>
  <si>
    <t xml:space="preserve">Digital screens at train stations, shopping centres</t>
  </si>
  <si>
    <t xml:space="preserve">  RADIO &amp; PODCAST</t>
  </si>
  <si>
    <t xml:space="preserve">Radio (30s spot - local)</t>
  </si>
  <si>
    <t xml:space="preserve">Per spot</t>
  </si>
  <si>
    <t xml:space="preserve">Per 30-second ad</t>
  </si>
  <si>
    <t xml:space="preserve">Regional commercial radio</t>
  </si>
  <si>
    <t xml:space="preserve">Radio (30s spot - national)</t>
  </si>
  <si>
    <t xml:space="preserve">National stations e.g. Absolute Radio</t>
  </si>
  <si>
    <t xml:space="preserve">Podcast (host-read ad)</t>
  </si>
  <si>
    <t xml:space="preserve">Per episode</t>
  </si>
  <si>
    <t xml:space="preserve">Depends on podcast audience size</t>
  </si>
  <si>
    <t xml:space="preserve">  CONTENT PRODUCTION</t>
  </si>
  <si>
    <t xml:space="preserve">Video Production</t>
  </si>
  <si>
    <t xml:space="preserve">Per day</t>
  </si>
  <si>
    <t xml:space="preserve">Per shoot day</t>
  </si>
  <si>
    <t xml:space="preserve">Production company day rate including crew</t>
  </si>
  <si>
    <t xml:space="preserve">Photography</t>
  </si>
  <si>
    <t xml:space="preserve">Photographer day rate, excluding studio/location hire</t>
  </si>
  <si>
    <t xml:space="preserve">Graphic Design / Motion</t>
  </si>
  <si>
    <t xml:space="preserve">Freelance designer day rate</t>
  </si>
  <si>
    <t xml:space="preserve">  EVENTS &amp; EXPERIENTIAL</t>
  </si>
  <si>
    <t xml:space="preserve">Small Event (&lt;100 attendees)</t>
  </si>
  <si>
    <t xml:space="preserve">Total cost</t>
  </si>
  <si>
    <t xml:space="preserve">Per event</t>
  </si>
  <si>
    <t xml:space="preserve">Venue, AV, staffing, catering</t>
  </si>
  <si>
    <t xml:space="preserve">Medium Event (100-500)</t>
  </si>
  <si>
    <t xml:space="preserve">Larger venue, more production</t>
  </si>
  <si>
    <t xml:space="preserve">Pop-up Activation</t>
  </si>
  <si>
    <t xml:space="preserve">Street/retail location activation</t>
  </si>
  <si>
    <t xml:space="preserve">  KEY: CPM = Cost Per 1,000 Impressions | CPC = Cost Per Click | CPL = Cost Per Lead | CPV = Cost Per View | MID estimate = recommended figure to use in your budget planning</t>
  </si>
  <si>
    <t xml:space="preserve">  SOURCES: These benchmarks are based on UK industry averages (2024-25). Sources include: HubSpot Marketing Statistics, Statista, WordStream, Influencer Marketing Hub, Nielsen, Radiocentre, and industry agency reports.</t>
  </si>
  <si>
    <t xml:space="preserve">  ROI CALCULATOR  |  Estimate the return on investment for your campaign</t>
  </si>
  <si>
    <t xml:space="preserve">  ROI (Return on Investment) = ((Estimated Revenue - Campaign Cost) / Campaign Cost) x 100. This calculator helps you ESTIMATE what your campaign might achieve. For brand awareness channels (OOH, PR, Events), direct ROI is difficult to measure - use the Awareness section below for reach/impressions estimates instead.</t>
  </si>
  <si>
    <t xml:space="preserve">  KEY ASSUMPTION - Enter once, used across all calculations</t>
  </si>
  <si>
    <t xml:space="preserve">Average Customer / Order Value (£):</t>
  </si>
  <si>
    <t xml:space="preserve">  What is the average amount a customer spends per purchase or the average lifetime value of a new customer? Enter this in cell F5. This figure is used to calculate estimated revenue across all tactics.</t>
  </si>
  <si>
    <t xml:space="preserve">  SECTION A - PERFORMANCE CHANNELS  (Digital channels where direct response / conversions can be estimated)</t>
  </si>
  <si>
    <t xml:space="preserve">  HOW TO USE: (1) Your budget per tactic is pulled automatically from the Budget Planner. (2) Enter the Cost Per Unit from the Cost Guide (use the MID estimate). (3) Enter your estimated Conversion Rate - what % of people who click/engage actually buy/sign up? (4) All other figures are calculated for you.</t>
  </si>
  <si>
    <t xml:space="preserve">Tactic</t>
  </si>
  <si>
    <t xml:space="preserve">Budget Allocated
(from Budget Planner)</t>
  </si>
  <si>
    <t xml:space="preserve">Cost Per Unit (£)
(from Cost Guide)</t>
  </si>
  <si>
    <t xml:space="preserve">Unit Type
(CPM / CPC / CPL)</t>
  </si>
  <si>
    <t xml:space="preserve">Estimated Units
(impressions or clicks)</t>
  </si>
  <si>
    <t xml:space="preserve">Avg Industry
Conv. Rate %</t>
  </si>
  <si>
    <t xml:space="preserve">YOUR Estimated
Conv. Rate %</t>
  </si>
  <si>
    <t xml:space="preserve">Estimated
Conversions</t>
  </si>
  <si>
    <t xml:space="preserve">Avg Customer
Value (£)</t>
  </si>
  <si>
    <t xml:space="preserve">Estimated
Revenue (£)</t>
  </si>
  <si>
    <t xml:space="preserve">Channel
ROI %</t>
  </si>
  <si>
    <t xml:space="preserve">Paid Social - FB / Instagram</t>
  </si>
  <si>
    <t xml:space="preserve">2.0%</t>
  </si>
  <si>
    <t xml:space="preserve">1.5%</t>
  </si>
  <si>
    <t xml:space="preserve">1.0%</t>
  </si>
  <si>
    <t xml:space="preserve">4.0%</t>
  </si>
  <si>
    <t xml:space="preserve">0.5%</t>
  </si>
  <si>
    <t xml:space="preserve">Influencer - Macro (100K-1M)</t>
  </si>
  <si>
    <t xml:space="preserve">Per Post</t>
  </si>
  <si>
    <t xml:space="preserve">2.5%</t>
  </si>
  <si>
    <t xml:space="preserve">Influencer - Micro (10K-100K)</t>
  </si>
  <si>
    <t xml:space="preserve">3.5%</t>
  </si>
  <si>
    <t xml:space="preserve">Per Send</t>
  </si>
  <si>
    <t xml:space="preserve">3.0%</t>
  </si>
  <si>
    <t xml:space="preserve">PERFORMANCE CHANNEL TOTALS</t>
  </si>
  <si>
    <t xml:space="preserve">  SECTION B - BRAND AWARENESS CHANNELS  (These channels build brand awareness - direct ROI is harder to measure)</t>
  </si>
  <si>
    <t xml:space="preserve">  For awareness channels, we estimate REACH (how many people might see your campaign). These channels are still valuable - they build brand recognition that supports your performance channels. Do not expect a direct sales ROI from these.</t>
  </si>
  <si>
    <t xml:space="preserve">CPM / Cost Per
1,000 Impressions (£)</t>
  </si>
  <si>
    <t xml:space="preserve">Estimated Total
Impressions / Reach</t>
  </si>
  <si>
    <t xml:space="preserve">Estimated Cost
Per Person Reached (£)</t>
  </si>
  <si>
    <t xml:space="preserve">Notes on Measurement</t>
  </si>
  <si>
    <t xml:space="preserve">Estimated reach based on CPM. Check platform analytics for actual reach.</t>
  </si>
  <si>
    <t xml:space="preserve">Influencer - Mega (1M+)</t>
  </si>
  <si>
    <t xml:space="preserve">N/A - see notes</t>
  </si>
  <si>
    <t xml:space="preserve">Reach depends on influencer follower count. Assume 20-30% of followers see a post.</t>
  </si>
  <si>
    <t xml:space="preserve">Content Creation (Photo/Video)</t>
  </si>
  <si>
    <t xml:space="preserve">Content is a cost, not a media buy. Track reach via the channels it is used in.</t>
  </si>
  <si>
    <t xml:space="preserve">Track reach via media coverage. Use OTS (Opportunities to See) as your metric.</t>
  </si>
  <si>
    <t xml:space="preserve">OOH / Billboards</t>
  </si>
  <si>
    <t xml:space="preserve">Local OOH typically reaches 10,000-100,000 people per 2-week period.</t>
  </si>
  <si>
    <t xml:space="preserve">Radio / Podcast</t>
  </si>
  <si>
    <t xml:space="preserve">Estimated listeners based on station audience figures.</t>
  </si>
  <si>
    <t xml:space="preserve">Track footfall/attendance. Estimated cost per person = total event cost / attendees.</t>
  </si>
  <si>
    <t xml:space="preserve">  OVERALL CAMPAIGN ROI SUMMARY</t>
  </si>
  <si>
    <t xml:space="preserve">  Total Campaign Investment (from Budget Planner):</t>
  </si>
  <si>
    <t xml:space="preserve">  Total Estimated Revenue (Performance Channels only):</t>
  </si>
  <si>
    <t xml:space="preserve">  Estimated Net Return (Revenue minus Investment):</t>
  </si>
  <si>
    <t xml:space="preserve">  Overall Campaign ROI %:</t>
  </si>
  <si>
    <t xml:space="preserve">  ROAS - Return on Ad Spend (Revenue / Investment):</t>
  </si>
  <si>
    <t xml:space="preserve">  IMPORTANT NOTE: These are ESTIMATES only. Real campaign ROI depends on many factors including creative quality, audience targeting, seasonality, and competition. A ROAS of 3x-5x is typically considered good for most campaigns. Brand awareness channels (Section B) are not included in the ROI calculation as they support long-term brand building which is harder to quantify.</t>
  </si>
</sst>
</file>

<file path=xl/styles.xml><?xml version="1.0" encoding="utf-8"?>
<styleSheet xmlns="http://schemas.openxmlformats.org/spreadsheetml/2006/main">
  <numFmts count="8">
    <numFmt numFmtId="164" formatCode="General"/>
    <numFmt numFmtId="165" formatCode="m/d/yyyy"/>
    <numFmt numFmtId="166" formatCode="\£#,##0.00"/>
    <numFmt numFmtId="167" formatCode="0.0%"/>
    <numFmt numFmtId="168" formatCode="#,##0"/>
    <numFmt numFmtId="169" formatCode="#,##0.0"/>
    <numFmt numFmtId="170" formatCode="\£#,##0.000"/>
    <numFmt numFmtId="171" formatCode="0.00\x"/>
  </numFmts>
  <fonts count="40">
    <font>
      <sz val="11"/>
      <color theme="1"/>
      <name val="Calibri"/>
      <family val="2"/>
      <charset val="1"/>
    </font>
    <font>
      <sz val="10"/>
      <name val="Arial"/>
      <family val="0"/>
    </font>
    <font>
      <sz val="10"/>
      <name val="Arial"/>
      <family val="0"/>
    </font>
    <font>
      <sz val="10"/>
      <name val="Arial"/>
      <family val="0"/>
    </font>
    <font>
      <b val="true"/>
      <sz val="18"/>
      <color rgb="FFFFFFFF"/>
      <name val="Arial"/>
      <family val="2"/>
      <charset val="1"/>
    </font>
    <font>
      <sz val="11"/>
      <color rgb="FFFFFFFF"/>
      <name val="Arial"/>
      <family val="2"/>
      <charset val="1"/>
    </font>
    <font>
      <b val="true"/>
      <sz val="11"/>
      <color rgb="FFFFFFFF"/>
      <name val="Arial"/>
      <family val="2"/>
      <charset val="1"/>
    </font>
    <font>
      <b val="true"/>
      <sz val="10"/>
      <color rgb="FF1F3864"/>
      <name val="Arial"/>
      <family val="2"/>
      <charset val="1"/>
    </font>
    <font>
      <i val="true"/>
      <sz val="11"/>
      <color rgb="FF0000FF"/>
      <name val="Arial"/>
      <family val="2"/>
      <charset val="1"/>
    </font>
    <font>
      <b val="true"/>
      <sz val="14"/>
      <color rgb="FFFFFFFF"/>
      <name val="Arial"/>
      <family val="2"/>
      <charset val="1"/>
    </font>
    <font>
      <b val="true"/>
      <sz val="14"/>
      <color rgb="FF0000FF"/>
      <name val="Arial"/>
      <family val="2"/>
      <charset val="1"/>
    </font>
    <font>
      <sz val="14"/>
      <color rgb="FF0000FF"/>
      <name val="Arial"/>
      <family val="2"/>
      <charset val="1"/>
    </font>
    <font>
      <sz val="10"/>
      <color rgb="FF1F3864"/>
      <name val="Arial"/>
      <family val="2"/>
      <charset val="1"/>
    </font>
    <font>
      <b val="true"/>
      <sz val="11"/>
      <color rgb="FF1F3864"/>
      <name val="Arial"/>
      <family val="2"/>
      <charset val="1"/>
    </font>
    <font>
      <b val="true"/>
      <sz val="12"/>
      <color rgb="FF000000"/>
      <name val="Arial"/>
      <family val="2"/>
      <charset val="1"/>
    </font>
    <font>
      <sz val="11"/>
      <color rgb="FF000000"/>
      <name val="Arial"/>
      <family val="2"/>
      <charset val="1"/>
    </font>
    <font>
      <b val="true"/>
      <sz val="10"/>
      <color rgb="FFC00000"/>
      <name val="Arial"/>
      <family val="2"/>
      <charset val="1"/>
    </font>
    <font>
      <b val="true"/>
      <sz val="10"/>
      <color rgb="FFFFFFFF"/>
      <name val="Arial"/>
      <family val="2"/>
      <charset val="1"/>
    </font>
    <font>
      <sz val="10"/>
      <color rgb="FF000000"/>
      <name val="Arial"/>
      <family val="2"/>
      <charset val="1"/>
    </font>
    <font>
      <b val="true"/>
      <sz val="10"/>
      <color rgb="FF0000FF"/>
      <name val="Arial"/>
      <family val="2"/>
      <charset val="1"/>
    </font>
    <font>
      <b val="true"/>
      <sz val="10"/>
      <color rgb="FF000000"/>
      <name val="Arial"/>
      <family val="2"/>
      <charset val="1"/>
    </font>
    <font>
      <b val="true"/>
      <sz val="10"/>
      <color rgb="FF375623"/>
      <name val="Arial"/>
      <family val="2"/>
      <charset val="1"/>
    </font>
    <font>
      <b val="true"/>
      <sz val="11"/>
      <color rgb="FF0000FF"/>
      <name val="Arial"/>
      <family val="2"/>
      <charset val="1"/>
    </font>
    <font>
      <sz val="10"/>
      <color rgb="FF0000FF"/>
      <name val="Arial"/>
      <family val="2"/>
      <charset val="1"/>
    </font>
    <font>
      <sz val="11"/>
      <color rgb="FF0000FF"/>
      <name val="Arial"/>
      <family val="2"/>
      <charset val="1"/>
    </font>
    <font>
      <b val="true"/>
      <sz val="11"/>
      <color rgb="FF000000"/>
      <name val="Arial"/>
      <family val="2"/>
      <charset val="1"/>
    </font>
    <font>
      <b val="true"/>
      <sz val="12"/>
      <color rgb="FFFFFFFF"/>
      <name val="Arial"/>
      <family val="2"/>
      <charset val="1"/>
    </font>
    <font>
      <sz val="10"/>
      <color rgb="FFFFFFFF"/>
      <name val="Arial"/>
      <family val="2"/>
      <charset val="1"/>
    </font>
    <font>
      <b val="true"/>
      <sz val="12"/>
      <color rgb="FFC00000"/>
      <name val="Arial"/>
      <family val="2"/>
      <charset val="1"/>
    </font>
    <font>
      <sz val="10"/>
      <color rgb="FF375623"/>
      <name val="Arial"/>
      <family val="2"/>
      <charset val="1"/>
    </font>
    <font>
      <i val="true"/>
      <sz val="10"/>
      <color rgb="FF000000"/>
      <name val="Arial"/>
      <family val="2"/>
      <charset val="1"/>
    </font>
    <font>
      <sz val="9"/>
      <color rgb="FF000000"/>
      <name val="Arial"/>
      <family val="2"/>
      <charset val="1"/>
    </font>
    <font>
      <i val="true"/>
      <sz val="9"/>
      <color rgb="FF1F3864"/>
      <name val="Arial"/>
      <family val="2"/>
      <charset val="1"/>
    </font>
    <font>
      <b val="true"/>
      <sz val="9"/>
      <color rgb="FFFFFFFF"/>
      <name val="Arial"/>
      <family val="2"/>
      <charset val="1"/>
    </font>
    <font>
      <b val="true"/>
      <sz val="11"/>
      <color rgb="FF375623"/>
      <name val="Arial"/>
      <family val="2"/>
      <charset val="1"/>
    </font>
    <font>
      <i val="true"/>
      <sz val="10"/>
      <color rgb="FF0000FF"/>
      <name val="Arial"/>
      <family val="2"/>
      <charset val="1"/>
    </font>
    <font>
      <i val="true"/>
      <sz val="10"/>
      <color rgb="FF595959"/>
      <name val="Arial"/>
      <family val="2"/>
      <charset val="1"/>
    </font>
    <font>
      <sz val="11"/>
      <color rgb="FF375623"/>
      <name val="Arial"/>
      <family val="2"/>
      <charset val="1"/>
    </font>
    <font>
      <i val="true"/>
      <sz val="9"/>
      <color rgb="FF000000"/>
      <name val="Arial"/>
      <family val="2"/>
      <charset val="1"/>
    </font>
    <font>
      <b val="true"/>
      <sz val="12"/>
      <color rgb="FF375623"/>
      <name val="Arial"/>
      <family val="2"/>
      <charset val="1"/>
    </font>
  </fonts>
  <fills count="15">
    <fill>
      <patternFill patternType="none"/>
    </fill>
    <fill>
      <patternFill patternType="gray125"/>
    </fill>
    <fill>
      <patternFill patternType="solid">
        <fgColor rgb="FF1F3864"/>
        <bgColor rgb="FF333399"/>
      </patternFill>
    </fill>
    <fill>
      <patternFill patternType="solid">
        <fgColor rgb="FF2E75B6"/>
        <bgColor rgb="FF1A7A72"/>
      </patternFill>
    </fill>
    <fill>
      <patternFill patternType="solid">
        <fgColor rgb="FFF2F2F2"/>
        <bgColor rgb="FFE2EFDA"/>
      </patternFill>
    </fill>
    <fill>
      <patternFill patternType="solid">
        <fgColor rgb="FFDEEAF1"/>
        <bgColor rgb="FFE2EFDA"/>
      </patternFill>
    </fill>
    <fill>
      <patternFill patternType="solid">
        <fgColor rgb="FFFFFF00"/>
        <bgColor rgb="FFFFFF00"/>
      </patternFill>
    </fill>
    <fill>
      <patternFill patternType="solid">
        <fgColor rgb="FFFFFACD"/>
        <bgColor rgb="FFF2F2F2"/>
      </patternFill>
    </fill>
    <fill>
      <patternFill patternType="solid">
        <fgColor rgb="FFE2EFDA"/>
        <bgColor rgb="FFDEEAF1"/>
      </patternFill>
    </fill>
    <fill>
      <patternFill patternType="solid">
        <fgColor rgb="FFFCE4D6"/>
        <bgColor rgb="FFF2F2F2"/>
      </patternFill>
    </fill>
    <fill>
      <patternFill patternType="solid">
        <fgColor rgb="FF1A7A72"/>
        <bgColor rgb="FF008080"/>
      </patternFill>
    </fill>
    <fill>
      <patternFill patternType="solid">
        <fgColor rgb="FFBDD7EE"/>
        <bgColor rgb="FFD9D9D9"/>
      </patternFill>
    </fill>
    <fill>
      <patternFill patternType="solid">
        <fgColor rgb="FFFFFFFF"/>
        <bgColor rgb="FFF2F2F2"/>
      </patternFill>
    </fill>
    <fill>
      <patternFill patternType="solid">
        <fgColor rgb="FF8B0000"/>
        <bgColor rgb="FF800000"/>
      </patternFill>
    </fill>
    <fill>
      <patternFill patternType="solid">
        <fgColor rgb="FFD9D9D9"/>
        <bgColor rgb="FFDEEAF1"/>
      </patternFill>
    </fill>
  </fills>
  <borders count="3">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4" fontId="7" fillId="5" borderId="2" xfId="0" applyFont="true" applyBorder="true" applyAlignment="true" applyProtection="false">
      <alignment horizontal="right"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false" indent="0" shrinkToFit="false"/>
      <protection locked="true" hidden="false"/>
    </xf>
    <xf numFmtId="165" fontId="8" fillId="6" borderId="2"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6" fontId="10" fillId="6" borderId="2" xfId="0" applyFont="true" applyBorder="true" applyAlignment="true" applyProtection="false">
      <alignment horizontal="right" vertical="center" textRotation="0" wrapText="false" indent="0" shrinkToFit="false"/>
      <protection locked="true" hidden="false"/>
    </xf>
    <xf numFmtId="166" fontId="11" fillId="6" borderId="2" xfId="0" applyFont="true" applyBorder="true" applyAlignment="true" applyProtection="false">
      <alignment horizontal="right" vertical="center" textRotation="0" wrapText="false" indent="0" shrinkToFit="false"/>
      <protection locked="true" hidden="false"/>
    </xf>
    <xf numFmtId="164" fontId="12" fillId="7" borderId="1" xfId="0" applyFont="true" applyBorder="true" applyAlignment="true" applyProtection="false">
      <alignment horizontal="left" vertical="center" textRotation="0" wrapText="false" indent="0" shrinkToFit="false"/>
      <protection locked="true" hidden="false"/>
    </xf>
    <xf numFmtId="164" fontId="13" fillId="8" borderId="1" xfId="0" applyFont="true" applyBorder="true" applyAlignment="true" applyProtection="false">
      <alignment horizontal="left" vertical="center" textRotation="0" wrapText="false" indent="0" shrinkToFit="false"/>
      <protection locked="true" hidden="false"/>
    </xf>
    <xf numFmtId="166" fontId="14" fillId="8" borderId="2" xfId="0" applyFont="true" applyBorder="true" applyAlignment="true" applyProtection="false">
      <alignment horizontal="right" vertical="center" textRotation="0" wrapText="false" indent="0" shrinkToFit="false"/>
      <protection locked="true" hidden="false"/>
    </xf>
    <xf numFmtId="164" fontId="15" fillId="8" borderId="2" xfId="0" applyFont="true" applyBorder="true" applyAlignment="true" applyProtection="false">
      <alignment horizontal="left" vertical="center" textRotation="0" wrapText="fals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6" fontId="14" fillId="5" borderId="2" xfId="0" applyFont="true" applyBorder="true" applyAlignment="true" applyProtection="false">
      <alignment horizontal="right" vertical="center" textRotation="0" wrapText="false" indent="0" shrinkToFit="false"/>
      <protection locked="true" hidden="false"/>
    </xf>
    <xf numFmtId="164" fontId="15" fillId="5" borderId="2" xfId="0" applyFont="true" applyBorder="true" applyAlignment="true" applyProtection="false">
      <alignment horizontal="left" vertical="center" textRotation="0" wrapText="false" indent="0" shrinkToFit="false"/>
      <protection locked="true" hidden="false"/>
    </xf>
    <xf numFmtId="167" fontId="14" fillId="5" borderId="2" xfId="0" applyFont="true" applyBorder="true" applyAlignment="true" applyProtection="false">
      <alignment horizontal="right" vertical="center" textRotation="0" wrapText="false" indent="0" shrinkToFit="false"/>
      <protection locked="true" hidden="false"/>
    </xf>
    <xf numFmtId="164" fontId="16" fillId="9" borderId="1" xfId="0" applyFont="true" applyBorder="true" applyAlignment="true" applyProtection="false">
      <alignment horizontal="left" vertical="center" textRotation="0" wrapText="true" indent="0" shrinkToFit="false"/>
      <protection locked="true" hidden="false"/>
    </xf>
    <xf numFmtId="164" fontId="17" fillId="3" borderId="2" xfId="0" applyFont="true" applyBorder="true" applyAlignment="true" applyProtection="false">
      <alignment horizontal="center" vertical="center" textRotation="0" wrapText="false" indent="0" shrinkToFit="false"/>
      <protection locked="true" hidden="false"/>
    </xf>
    <xf numFmtId="164" fontId="18" fillId="4" borderId="1" xfId="0" applyFont="true" applyBorder="true" applyAlignment="true" applyProtection="false">
      <alignment horizontal="left" vertical="center" textRotation="0" wrapText="true" indent="0" shrinkToFit="false"/>
      <protection locked="true" hidden="false"/>
    </xf>
    <xf numFmtId="164" fontId="19" fillId="6" borderId="2" xfId="0" applyFont="true" applyBorder="true" applyAlignment="true" applyProtection="false">
      <alignment horizontal="left" vertical="center" textRotation="0" wrapText="false" indent="0" shrinkToFit="false"/>
      <protection locked="true" hidden="false"/>
    </xf>
    <xf numFmtId="164" fontId="18" fillId="5" borderId="1" xfId="0" applyFont="true" applyBorder="true" applyAlignment="true" applyProtection="false">
      <alignment horizontal="left" vertical="center" textRotation="0" wrapText="false" indent="0" shrinkToFit="false"/>
      <protection locked="true" hidden="false"/>
    </xf>
    <xf numFmtId="164" fontId="20" fillId="4" borderId="2" xfId="0" applyFont="true" applyBorder="true" applyAlignment="true" applyProtection="false">
      <alignment horizontal="left" vertical="center" textRotation="0" wrapText="false" indent="0" shrinkToFit="false"/>
      <protection locked="true" hidden="false"/>
    </xf>
    <xf numFmtId="164" fontId="21" fillId="8" borderId="2" xfId="0" applyFont="true" applyBorder="true" applyAlignment="true" applyProtection="false">
      <alignment horizontal="left" vertical="center" textRotation="0" wrapText="false" indent="0" shrinkToFit="false"/>
      <protection locked="true" hidden="false"/>
    </xf>
    <xf numFmtId="164" fontId="16" fillId="9" borderId="2" xfId="0" applyFont="true" applyBorder="true" applyAlignment="true" applyProtection="false">
      <alignment horizontal="left" vertical="center" textRotation="0" wrapText="false" indent="0" shrinkToFit="false"/>
      <protection locked="true" hidden="false"/>
    </xf>
    <xf numFmtId="164" fontId="9" fillId="10" borderId="1" xfId="0" applyFont="true" applyBorder="true" applyAlignment="true" applyProtection="false">
      <alignment horizontal="left" vertical="center" textRotation="0" wrapText="false" indent="0" shrinkToFit="false"/>
      <protection locked="true" hidden="false"/>
    </xf>
    <xf numFmtId="164" fontId="6" fillId="2" borderId="2" xfId="0" applyFont="true" applyBorder="true" applyAlignment="true" applyProtection="false">
      <alignment horizontal="right" vertical="center" textRotation="0" wrapText="false" indent="0" shrinkToFit="false"/>
      <protection locked="true" hidden="false"/>
    </xf>
    <xf numFmtId="166" fontId="6" fillId="3" borderId="2" xfId="0" applyFont="true" applyBorder="true" applyAlignment="true" applyProtection="false">
      <alignment horizontal="right" vertical="center" textRotation="0" wrapText="false" indent="0" shrinkToFit="false"/>
      <protection locked="true" hidden="false"/>
    </xf>
    <xf numFmtId="167" fontId="6" fillId="3" borderId="2" xfId="0" applyFont="true" applyBorder="true" applyAlignment="true" applyProtection="false">
      <alignment horizontal="right" vertical="center" textRotation="0" wrapText="false" indent="0" shrinkToFit="false"/>
      <protection locked="true" hidden="false"/>
    </xf>
    <xf numFmtId="164" fontId="15" fillId="2" borderId="2" xfId="0" applyFont="true" applyBorder="true" applyAlignment="true" applyProtection="false">
      <alignment horizontal="left" vertical="center" textRotation="0" wrapText="fals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false" indent="0" shrinkToFit="false"/>
      <protection locked="true" hidden="false"/>
    </xf>
    <xf numFmtId="164" fontId="17" fillId="3" borderId="2" xfId="0" applyFont="true" applyBorder="true" applyAlignment="true" applyProtection="false">
      <alignment horizontal="left" vertical="center" textRotation="0" wrapText="false" indent="0" shrinkToFit="false"/>
      <protection locked="true" hidden="false"/>
    </xf>
    <xf numFmtId="164" fontId="5" fillId="3" borderId="2" xfId="0" applyFont="true" applyBorder="true" applyAlignment="true" applyProtection="false">
      <alignment horizontal="left" vertical="center" textRotation="0" wrapText="false" indent="0" shrinkToFit="false"/>
      <protection locked="true" hidden="false"/>
    </xf>
    <xf numFmtId="164" fontId="22" fillId="6" borderId="2" xfId="0" applyFont="true" applyBorder="true" applyAlignment="true" applyProtection="false">
      <alignment horizontal="center" vertical="center" textRotation="0" wrapText="false" indent="0" shrinkToFit="false"/>
      <protection locked="true" hidden="false"/>
    </xf>
    <xf numFmtId="164" fontId="17" fillId="2" borderId="2" xfId="0" applyFont="true" applyBorder="true" applyAlignment="true" applyProtection="false">
      <alignment horizontal="center" vertical="center" textRotation="0" wrapText="false" indent="0" shrinkToFit="false"/>
      <protection locked="true" hidden="false"/>
    </xf>
    <xf numFmtId="164" fontId="23" fillId="6" borderId="2" xfId="0" applyFont="true" applyBorder="true" applyAlignment="true" applyProtection="false">
      <alignment horizontal="left" vertical="center" textRotation="0" wrapText="false" indent="0" shrinkToFit="false"/>
      <protection locked="true" hidden="false"/>
    </xf>
    <xf numFmtId="164" fontId="23" fillId="6" borderId="2" xfId="0" applyFont="true" applyBorder="true" applyAlignment="true" applyProtection="false">
      <alignment horizontal="center" vertical="center" textRotation="0" wrapText="false" indent="0" shrinkToFit="false"/>
      <protection locked="true" hidden="false"/>
    </xf>
    <xf numFmtId="166" fontId="24" fillId="6" borderId="2" xfId="0" applyFont="true" applyBorder="true" applyAlignment="true" applyProtection="false">
      <alignment horizontal="right" vertical="center" textRotation="0" wrapText="false" indent="0" shrinkToFit="false"/>
      <protection locked="true" hidden="false"/>
    </xf>
    <xf numFmtId="166" fontId="25" fillId="11" borderId="2" xfId="0" applyFont="true" applyBorder="true" applyAlignment="true" applyProtection="false">
      <alignment horizontal="right" vertical="center" textRotation="0" wrapText="false" indent="0" shrinkToFit="false"/>
      <protection locked="true" hidden="false"/>
    </xf>
    <xf numFmtId="167" fontId="15" fillId="12" borderId="2" xfId="0" applyFont="true" applyBorder="true" applyAlignment="true" applyProtection="false">
      <alignment horizontal="right" vertical="center" textRotation="0" wrapText="false" indent="0" shrinkToFit="false"/>
      <protection locked="true" hidden="false"/>
    </xf>
    <xf numFmtId="164" fontId="23" fillId="6" borderId="2" xfId="0" applyFont="true" applyBorder="true" applyAlignment="true" applyProtection="false">
      <alignment horizontal="left" vertical="center" textRotation="0" wrapText="true" indent="0" shrinkToFit="false"/>
      <protection locked="true" hidden="false"/>
    </xf>
    <xf numFmtId="167" fontId="15" fillId="4" borderId="2" xfId="0" applyFont="true" applyBorder="true" applyAlignment="true" applyProtection="false">
      <alignment horizontal="right" vertical="center" textRotation="0" wrapText="false" indent="0" shrinkToFit="false"/>
      <protection locked="true" hidden="false"/>
    </xf>
    <xf numFmtId="166" fontId="6" fillId="2" borderId="2" xfId="0" applyFont="true" applyBorder="true" applyAlignment="true" applyProtection="false">
      <alignment horizontal="right" vertical="center" textRotation="0" wrapText="false" indent="0" shrinkToFit="false"/>
      <protection locked="true" hidden="false"/>
    </xf>
    <xf numFmtId="166" fontId="26" fillId="10" borderId="2" xfId="0" applyFont="true" applyBorder="true" applyAlignment="true" applyProtection="false">
      <alignment horizontal="right" vertical="center" textRotation="0" wrapText="false" indent="0" shrinkToFit="false"/>
      <protection locked="true" hidden="false"/>
    </xf>
    <xf numFmtId="167" fontId="6" fillId="2" borderId="2" xfId="0" applyFont="true" applyBorder="true" applyAlignment="true" applyProtection="false">
      <alignment horizontal="right" vertical="center" textRotation="0" wrapText="false" indent="0" shrinkToFit="false"/>
      <protection locked="true" hidden="false"/>
    </xf>
    <xf numFmtId="164" fontId="27" fillId="2" borderId="2" xfId="0" applyFont="true" applyBorder="true" applyAlignment="true" applyProtection="false">
      <alignment horizontal="left" vertical="center" textRotation="0" wrapText="false" indent="0" shrinkToFit="false"/>
      <protection locked="true" hidden="false"/>
    </xf>
    <xf numFmtId="164" fontId="7" fillId="9" borderId="1" xfId="0" applyFont="true" applyBorder="true" applyAlignment="true" applyProtection="false">
      <alignment horizontal="left" vertical="center" textRotation="0" wrapText="false" indent="0" shrinkToFit="false"/>
      <protection locked="true" hidden="false"/>
    </xf>
    <xf numFmtId="164" fontId="15" fillId="9" borderId="2" xfId="0" applyFont="true" applyBorder="true" applyAlignment="true" applyProtection="false">
      <alignment horizontal="left" vertical="center" textRotation="0" wrapText="false" indent="0" shrinkToFit="false"/>
      <protection locked="true" hidden="false"/>
    </xf>
    <xf numFmtId="166" fontId="28" fillId="9" borderId="2" xfId="0" applyFont="true" applyBorder="true" applyAlignment="true" applyProtection="false">
      <alignment horizontal="right" vertical="center" textRotation="0" wrapText="false" indent="0" shrinkToFit="false"/>
      <protection locked="true" hidden="false"/>
    </xf>
    <xf numFmtId="164" fontId="29" fillId="8"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7" fillId="2" borderId="2" xfId="0" applyFont="true" applyBorder="true" applyAlignment="true" applyProtection="false">
      <alignment horizontal="center" vertical="center" textRotation="0" wrapText="true" indent="0" shrinkToFit="false"/>
      <protection locked="true" hidden="false"/>
    </xf>
    <xf numFmtId="164" fontId="17" fillId="3" borderId="1" xfId="0" applyFont="true" applyBorder="true" applyAlignment="true" applyProtection="false">
      <alignment horizontal="left" vertical="center" textRotation="0" wrapText="false" indent="0" shrinkToFit="false"/>
      <protection locked="true" hidden="false"/>
    </xf>
    <xf numFmtId="164" fontId="18" fillId="4" borderId="2" xfId="0" applyFont="true" applyBorder="true" applyAlignment="true" applyProtection="false">
      <alignment horizontal="left" vertical="center" textRotation="0" wrapText="false" indent="0" shrinkToFit="false"/>
      <protection locked="true" hidden="false"/>
    </xf>
    <xf numFmtId="164" fontId="20" fillId="4" borderId="2" xfId="0" applyFont="true" applyBorder="true" applyAlignment="true" applyProtection="false">
      <alignment horizontal="center" vertical="center" textRotation="0" wrapText="false" indent="0" shrinkToFit="false"/>
      <protection locked="true" hidden="false"/>
    </xf>
    <xf numFmtId="166" fontId="18" fillId="4" borderId="2" xfId="0" applyFont="true" applyBorder="true" applyAlignment="true" applyProtection="false">
      <alignment horizontal="right" vertical="center" textRotation="0" wrapText="false" indent="0" shrinkToFit="false"/>
      <protection locked="true" hidden="false"/>
    </xf>
    <xf numFmtId="166" fontId="21" fillId="8" borderId="2" xfId="0" applyFont="true" applyBorder="true" applyAlignment="true" applyProtection="false">
      <alignment horizontal="right" vertical="center" textRotation="0" wrapText="false" indent="0" shrinkToFit="false"/>
      <protection locked="true" hidden="false"/>
    </xf>
    <xf numFmtId="164" fontId="30" fillId="4" borderId="2" xfId="0" applyFont="true" applyBorder="true" applyAlignment="true" applyProtection="false">
      <alignment horizontal="left" vertical="center" textRotation="0" wrapText="false" indent="0" shrinkToFit="false"/>
      <protection locked="true" hidden="false"/>
    </xf>
    <xf numFmtId="164" fontId="31" fillId="5" borderId="2" xfId="0" applyFont="true" applyBorder="true" applyAlignment="true" applyProtection="false">
      <alignment horizontal="left" vertical="center" textRotation="0" wrapText="true" indent="0" shrinkToFit="false"/>
      <protection locked="true" hidden="false"/>
    </xf>
    <xf numFmtId="164" fontId="18" fillId="12" borderId="2" xfId="0" applyFont="true" applyBorder="true" applyAlignment="true" applyProtection="false">
      <alignment horizontal="left" vertical="center" textRotation="0" wrapText="false" indent="0" shrinkToFit="false"/>
      <protection locked="true" hidden="false"/>
    </xf>
    <xf numFmtId="164" fontId="20" fillId="12" borderId="2" xfId="0" applyFont="true" applyBorder="true" applyAlignment="true" applyProtection="false">
      <alignment horizontal="center" vertical="center" textRotation="0" wrapText="false" indent="0" shrinkToFit="false"/>
      <protection locked="true" hidden="false"/>
    </xf>
    <xf numFmtId="166" fontId="18" fillId="12" borderId="2" xfId="0" applyFont="true" applyBorder="true" applyAlignment="true" applyProtection="false">
      <alignment horizontal="right" vertical="center" textRotation="0" wrapText="false" indent="0" shrinkToFit="false"/>
      <protection locked="true" hidden="false"/>
    </xf>
    <xf numFmtId="164" fontId="30" fillId="12" borderId="2" xfId="0" applyFont="true" applyBorder="true" applyAlignment="true" applyProtection="false">
      <alignment horizontal="left" vertical="center" textRotation="0" wrapText="false" indent="0" shrinkToFit="false"/>
      <protection locked="true" hidden="false"/>
    </xf>
    <xf numFmtId="164" fontId="32" fillId="7" borderId="1" xfId="0" applyFont="true" applyBorder="true" applyAlignment="true" applyProtection="false">
      <alignment horizontal="left" vertical="center" textRotation="0" wrapText="false" indent="0" shrinkToFit="false"/>
      <protection locked="true" hidden="false"/>
    </xf>
    <xf numFmtId="164" fontId="32" fillId="5" borderId="1" xfId="0" applyFont="true" applyBorder="true" applyAlignment="true" applyProtection="false">
      <alignment horizontal="left" vertical="center" textRotation="0" wrapText="true" indent="0" shrinkToFit="false"/>
      <protection locked="true" hidden="false"/>
    </xf>
    <xf numFmtId="164" fontId="9" fillId="13" borderId="1" xfId="0" applyFont="true" applyBorder="true" applyAlignment="true" applyProtection="false">
      <alignment horizontal="left" vertical="center" textRotation="0" wrapText="false" indent="0" shrinkToFit="false"/>
      <protection locked="true" hidden="false"/>
    </xf>
    <xf numFmtId="164" fontId="13" fillId="5" borderId="2" xfId="0" applyFont="true" applyBorder="true" applyAlignment="true" applyProtection="false">
      <alignment horizontal="right" vertical="center" textRotation="0" wrapText="false" indent="0" shrinkToFit="false"/>
      <protection locked="true" hidden="false"/>
    </xf>
    <xf numFmtId="164" fontId="15" fillId="6" borderId="2" xfId="0" applyFont="true" applyBorder="true" applyAlignment="true" applyProtection="false">
      <alignment horizontal="left" vertical="center" textRotation="0" wrapText="false" indent="0" shrinkToFit="false"/>
      <protection locked="true" hidden="false"/>
    </xf>
    <xf numFmtId="164" fontId="6" fillId="10" borderId="1" xfId="0" applyFont="true" applyBorder="true" applyAlignment="true" applyProtection="false">
      <alignment horizontal="left" vertical="center" textRotation="0" wrapText="false" indent="0" shrinkToFit="false"/>
      <protection locked="true" hidden="false"/>
    </xf>
    <xf numFmtId="164" fontId="33" fillId="2" borderId="2" xfId="0" applyFont="true" applyBorder="true" applyAlignment="true" applyProtection="false">
      <alignment horizontal="center" vertical="center" textRotation="0" wrapText="true" indent="0" shrinkToFit="false"/>
      <protection locked="true" hidden="false"/>
    </xf>
    <xf numFmtId="164" fontId="20" fillId="12" borderId="2" xfId="0" applyFont="true" applyBorder="true" applyAlignment="true" applyProtection="false">
      <alignment horizontal="left" vertical="center" textRotation="0" wrapText="false" indent="0" shrinkToFit="false"/>
      <protection locked="true" hidden="false"/>
    </xf>
    <xf numFmtId="166" fontId="34" fillId="8" borderId="2" xfId="0" applyFont="true" applyBorder="true" applyAlignment="true" applyProtection="false">
      <alignment horizontal="right" vertical="center" textRotation="0" wrapText="false" indent="0" shrinkToFit="false"/>
      <protection locked="true" hidden="false"/>
    </xf>
    <xf numFmtId="164" fontId="35" fillId="6" borderId="2" xfId="0" applyFont="true" applyBorder="true" applyAlignment="true" applyProtection="false">
      <alignment horizontal="center" vertical="center" textRotation="0" wrapText="false" indent="0" shrinkToFit="false"/>
      <protection locked="true" hidden="false"/>
    </xf>
    <xf numFmtId="168" fontId="15" fillId="12" borderId="2" xfId="0" applyFont="true" applyBorder="true" applyAlignment="true" applyProtection="false">
      <alignment horizontal="right" vertical="center" textRotation="0" wrapText="false" indent="0" shrinkToFit="false"/>
      <protection locked="true" hidden="false"/>
    </xf>
    <xf numFmtId="164" fontId="36" fillId="14" borderId="2" xfId="0" applyFont="true" applyBorder="true" applyAlignment="true" applyProtection="false">
      <alignment horizontal="center" vertical="center" textRotation="0" wrapText="false" indent="0" shrinkToFit="false"/>
      <protection locked="true" hidden="false"/>
    </xf>
    <xf numFmtId="167" fontId="24" fillId="6" borderId="2" xfId="0" applyFont="true" applyBorder="true" applyAlignment="true" applyProtection="false">
      <alignment horizontal="center" vertical="center" textRotation="0" wrapText="false" indent="0" shrinkToFit="false"/>
      <protection locked="true" hidden="false"/>
    </xf>
    <xf numFmtId="169" fontId="25" fillId="11" borderId="2" xfId="0" applyFont="true" applyBorder="true" applyAlignment="true" applyProtection="false">
      <alignment horizontal="right" vertical="center" textRotation="0" wrapText="false" indent="0" shrinkToFit="false"/>
      <protection locked="true" hidden="false"/>
    </xf>
    <xf numFmtId="166" fontId="37" fillId="8" borderId="2" xfId="0" applyFont="true" applyBorder="true" applyAlignment="true" applyProtection="false">
      <alignment horizontal="right" vertical="center" textRotation="0" wrapText="false" indent="0" shrinkToFit="false"/>
      <protection locked="true" hidden="false"/>
    </xf>
    <xf numFmtId="167" fontId="25" fillId="12" borderId="2" xfId="0" applyFont="true" applyBorder="true" applyAlignment="true" applyProtection="false">
      <alignment horizontal="right" vertical="center" textRotation="0" wrapText="false" indent="0" shrinkToFit="false"/>
      <protection locked="true" hidden="false"/>
    </xf>
    <xf numFmtId="168" fontId="15" fillId="4" borderId="2" xfId="0" applyFont="true" applyBorder="true" applyAlignment="true" applyProtection="false">
      <alignment horizontal="right" vertical="center" textRotation="0" wrapText="false" indent="0" shrinkToFit="false"/>
      <protection locked="true" hidden="false"/>
    </xf>
    <xf numFmtId="167" fontId="25" fillId="4" borderId="2" xfId="0" applyFont="true" applyBorder="true" applyAlignment="true" applyProtection="false">
      <alignment horizontal="right" vertical="center" textRotation="0" wrapText="false" indent="0" shrinkToFit="false"/>
      <protection locked="true" hidden="false"/>
    </xf>
    <xf numFmtId="164" fontId="17" fillId="10" borderId="2" xfId="0" applyFont="true" applyBorder="true" applyAlignment="true" applyProtection="false">
      <alignment horizontal="right" vertical="center" textRotation="0" wrapText="false" indent="0" shrinkToFit="false"/>
      <protection locked="true" hidden="false"/>
    </xf>
    <xf numFmtId="166" fontId="6" fillId="10" borderId="2" xfId="0" applyFont="true" applyBorder="true" applyAlignment="true" applyProtection="false">
      <alignment horizontal="right" vertical="center" textRotation="0" wrapText="false" indent="0" shrinkToFit="false"/>
      <protection locked="true" hidden="false"/>
    </xf>
    <xf numFmtId="164" fontId="15" fillId="10" borderId="2" xfId="0" applyFont="true" applyBorder="true" applyAlignment="true" applyProtection="false">
      <alignment horizontal="left" vertical="center" textRotation="0" wrapText="false" indent="0" shrinkToFit="false"/>
      <protection locked="true" hidden="false"/>
    </xf>
    <xf numFmtId="169" fontId="6" fillId="10" borderId="2" xfId="0" applyFont="true" applyBorder="true" applyAlignment="true" applyProtection="false">
      <alignment horizontal="right" vertical="center" textRotation="0" wrapText="false" indent="0" shrinkToFit="false"/>
      <protection locked="true" hidden="false"/>
    </xf>
    <xf numFmtId="167" fontId="26" fillId="10" borderId="2" xfId="0" applyFont="true" applyBorder="true" applyAlignment="true" applyProtection="false">
      <alignment horizontal="righ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33" fillId="3" borderId="2" xfId="0" applyFont="true" applyBorder="true" applyAlignment="true" applyProtection="false">
      <alignment horizontal="center" vertical="center" textRotation="0" wrapText="true" indent="0" shrinkToFit="false"/>
      <protection locked="true" hidden="false"/>
    </xf>
    <xf numFmtId="164" fontId="15" fillId="3" borderId="2" xfId="0" applyFont="true" applyBorder="true" applyAlignment="true" applyProtection="false">
      <alignment horizontal="left" vertical="center" textRotation="0" wrapText="false" indent="0" shrinkToFit="false"/>
      <protection locked="true" hidden="false"/>
    </xf>
    <xf numFmtId="168" fontId="25" fillId="11" borderId="2" xfId="0" applyFont="true" applyBorder="true" applyAlignment="true" applyProtection="false">
      <alignment horizontal="right" vertical="center" textRotation="0" wrapText="false" indent="0" shrinkToFit="false"/>
      <protection locked="true" hidden="false"/>
    </xf>
    <xf numFmtId="170" fontId="15" fillId="12" borderId="2" xfId="0" applyFont="true" applyBorder="true" applyAlignment="true" applyProtection="false">
      <alignment horizontal="right" vertical="center" textRotation="0" wrapText="false" indent="0" shrinkToFit="false"/>
      <protection locked="true" hidden="false"/>
    </xf>
    <xf numFmtId="164" fontId="31" fillId="5" borderId="1" xfId="0" applyFont="true" applyBorder="true" applyAlignment="true" applyProtection="false">
      <alignment horizontal="left" vertical="center" textRotation="0" wrapText="true" indent="0" shrinkToFit="false"/>
      <protection locked="true" hidden="false"/>
    </xf>
    <xf numFmtId="164" fontId="38" fillId="14" borderId="2" xfId="0" applyFont="true" applyBorder="true" applyAlignment="true" applyProtection="false">
      <alignment horizontal="center" vertical="center" textRotation="0" wrapText="false" indent="0" shrinkToFit="false"/>
      <protection locked="true" hidden="false"/>
    </xf>
    <xf numFmtId="170" fontId="15" fillId="4" borderId="2" xfId="0" applyFont="true" applyBorder="true" applyAlignment="true" applyProtection="false">
      <alignment horizontal="right" vertical="center" textRotation="0" wrapText="false" indent="0" shrinkToFit="false"/>
      <protection locked="true" hidden="false"/>
    </xf>
    <xf numFmtId="166" fontId="14" fillId="11" borderId="2" xfId="0" applyFont="true" applyBorder="true" applyAlignment="true" applyProtection="false">
      <alignment horizontal="right" vertical="center" textRotation="0" wrapText="false" indent="0" shrinkToFit="false"/>
      <protection locked="true" hidden="false"/>
    </xf>
    <xf numFmtId="164" fontId="15" fillId="11" borderId="2" xfId="0" applyFont="true" applyBorder="true" applyAlignment="true" applyProtection="false">
      <alignment horizontal="left" vertical="center" textRotation="0" wrapText="false" indent="0" shrinkToFit="false"/>
      <protection locked="true" hidden="false"/>
    </xf>
    <xf numFmtId="167" fontId="39" fillId="8" borderId="2" xfId="0" applyFont="true" applyBorder="true" applyAlignment="true" applyProtection="false">
      <alignment horizontal="right" vertical="center" textRotation="0" wrapText="false" indent="0" shrinkToFit="false"/>
      <protection locked="true" hidden="false"/>
    </xf>
    <xf numFmtId="171" fontId="39" fillId="8" borderId="2" xfId="0" applyFont="true" applyBorder="true" applyAlignment="true" applyProtection="false">
      <alignment horizontal="right" vertical="center" textRotation="0" wrapText="false" indent="0" shrinkToFit="false"/>
      <protection locked="true" hidden="false"/>
    </xf>
    <xf numFmtId="164" fontId="12" fillId="9"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B0000"/>
      <rgbColor rgb="FF008000"/>
      <rgbColor rgb="FF000080"/>
      <rgbColor rgb="FF808000"/>
      <rgbColor rgb="FF800080"/>
      <rgbColor rgb="FF1A7A72"/>
      <rgbColor rgb="FFD9D9D9"/>
      <rgbColor rgb="FF808080"/>
      <rgbColor rgb="FF9999FF"/>
      <rgbColor rgb="FF993366"/>
      <rgbColor rgb="FFFFFACD"/>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R20" activeCellId="0" sqref="R20"/>
    </sheetView>
  </sheetViews>
  <sheetFormatPr defaultColWidth="8.66796875" defaultRowHeight="15" customHeight="true"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7" min="3" style="0" width="14"/>
    <col collapsed="false" customWidth="true" hidden="false" outlineLevel="0" max="8" min="8" style="0" width="18"/>
    <col collapsed="false" customWidth="true" hidden="false" outlineLevel="0" max="11" min="9" style="0" width="14"/>
  </cols>
  <sheetData>
    <row r="1" customFormat="false" ht="39.75" hidden="false" customHeight="true" outlineLevel="0" collapsed="false">
      <c r="A1" s="1" t="s">
        <v>0</v>
      </c>
      <c r="B1" s="1"/>
      <c r="C1" s="1"/>
      <c r="D1" s="1"/>
      <c r="E1" s="1"/>
      <c r="F1" s="1"/>
      <c r="G1" s="1"/>
      <c r="H1" s="1"/>
      <c r="I1" s="1"/>
      <c r="J1" s="1"/>
      <c r="K1" s="1"/>
    </row>
    <row r="2" customFormat="false" ht="21.75" hidden="false" customHeight="true" outlineLevel="0" collapsed="false">
      <c r="A2" s="2" t="s">
        <v>1</v>
      </c>
      <c r="B2" s="2"/>
      <c r="C2" s="2"/>
      <c r="D2" s="2"/>
      <c r="E2" s="2"/>
      <c r="F2" s="2"/>
      <c r="G2" s="2"/>
      <c r="H2" s="2"/>
      <c r="I2" s="2"/>
      <c r="J2" s="2"/>
      <c r="K2" s="2"/>
    </row>
    <row r="3" customFormat="false" ht="15" hidden="false" customHeight="false" outlineLevel="0" collapsed="false">
      <c r="A3" s="3"/>
      <c r="B3" s="3"/>
      <c r="C3" s="3"/>
      <c r="D3" s="3"/>
      <c r="E3" s="3"/>
      <c r="F3" s="3"/>
      <c r="G3" s="3"/>
      <c r="H3" s="3"/>
      <c r="I3" s="3"/>
      <c r="J3" s="3"/>
      <c r="K3" s="3"/>
    </row>
    <row r="4" customFormat="false" ht="15" hidden="false" customHeight="false" outlineLevel="0" collapsed="false">
      <c r="A4" s="4" t="s">
        <v>2</v>
      </c>
      <c r="B4" s="4"/>
      <c r="C4" s="4"/>
      <c r="D4" s="4"/>
      <c r="E4" s="4"/>
      <c r="F4" s="4"/>
      <c r="G4" s="4"/>
      <c r="H4" s="4"/>
      <c r="I4" s="4"/>
      <c r="J4" s="4"/>
      <c r="K4" s="4"/>
    </row>
    <row r="5" customFormat="false" ht="15" hidden="false" customHeight="false" outlineLevel="0" collapsed="false">
      <c r="A5" s="5" t="s">
        <v>3</v>
      </c>
      <c r="B5" s="6" t="s">
        <v>4</v>
      </c>
      <c r="C5" s="6"/>
      <c r="D5" s="6"/>
      <c r="E5" s="6"/>
      <c r="F5" s="6"/>
      <c r="G5" s="5" t="s">
        <v>5</v>
      </c>
      <c r="H5" s="6" t="s">
        <v>6</v>
      </c>
      <c r="I5" s="6"/>
      <c r="J5" s="6"/>
      <c r="K5" s="6"/>
    </row>
    <row r="6" customFormat="false" ht="15" hidden="false" customHeight="false" outlineLevel="0" collapsed="false">
      <c r="A6" s="5" t="s">
        <v>7</v>
      </c>
      <c r="B6" s="7" t="s">
        <v>8</v>
      </c>
      <c r="C6" s="7"/>
      <c r="D6" s="7"/>
      <c r="E6" s="5"/>
      <c r="F6" s="5"/>
      <c r="G6" s="5" t="s">
        <v>9</v>
      </c>
      <c r="H6" s="7" t="s">
        <v>8</v>
      </c>
      <c r="I6" s="7"/>
      <c r="J6" s="7"/>
      <c r="K6" s="7"/>
    </row>
    <row r="7" customFormat="false" ht="15" hidden="false" customHeight="false" outlineLevel="0" collapsed="false">
      <c r="A7" s="5" t="s">
        <v>10</v>
      </c>
      <c r="B7" s="6" t="s">
        <v>11</v>
      </c>
      <c r="C7" s="6"/>
      <c r="D7" s="6"/>
      <c r="E7" s="6"/>
      <c r="F7" s="6"/>
      <c r="G7" s="5" t="s">
        <v>12</v>
      </c>
      <c r="H7" s="6" t="s">
        <v>13</v>
      </c>
      <c r="I7" s="6"/>
      <c r="J7" s="6"/>
      <c r="K7" s="6"/>
    </row>
    <row r="8" customFormat="false" ht="15" hidden="false" customHeight="false" outlineLevel="0" collapsed="false">
      <c r="A8" s="3"/>
      <c r="B8" s="3"/>
      <c r="C8" s="3"/>
      <c r="D8" s="3"/>
      <c r="E8" s="3"/>
      <c r="F8" s="3"/>
      <c r="G8" s="3"/>
      <c r="H8" s="3"/>
      <c r="I8" s="3"/>
      <c r="J8" s="3"/>
      <c r="K8" s="3"/>
    </row>
    <row r="9" customFormat="false" ht="15" hidden="false" customHeight="false" outlineLevel="0" collapsed="false">
      <c r="A9" s="4" t="s">
        <v>14</v>
      </c>
      <c r="B9" s="4"/>
      <c r="C9" s="4"/>
      <c r="D9" s="4"/>
      <c r="E9" s="4"/>
      <c r="F9" s="4"/>
      <c r="G9" s="4"/>
      <c r="H9" s="4"/>
      <c r="I9" s="4"/>
      <c r="J9" s="4"/>
      <c r="K9" s="4"/>
    </row>
    <row r="10" customFormat="false" ht="18" hidden="false" customHeight="true" outlineLevel="0" collapsed="false">
      <c r="A10" s="8" t="s">
        <v>15</v>
      </c>
      <c r="B10" s="8"/>
      <c r="C10" s="8"/>
      <c r="D10" s="8"/>
      <c r="E10" s="9"/>
      <c r="F10" s="10"/>
      <c r="G10" s="10"/>
      <c r="H10" s="10"/>
      <c r="I10" s="10"/>
      <c r="J10" s="10"/>
      <c r="K10" s="10"/>
    </row>
    <row r="11" customFormat="false" ht="15" hidden="false" customHeight="false" outlineLevel="0" collapsed="false">
      <c r="A11" s="11" t="s">
        <v>16</v>
      </c>
      <c r="B11" s="11"/>
      <c r="C11" s="11"/>
      <c r="D11" s="11"/>
      <c r="E11" s="11"/>
      <c r="F11" s="11"/>
      <c r="G11" s="11"/>
      <c r="H11" s="11"/>
      <c r="I11" s="11"/>
      <c r="J11" s="11"/>
      <c r="K11" s="11"/>
    </row>
    <row r="12" customFormat="false" ht="15" hidden="false" customHeight="false" outlineLevel="0" collapsed="false">
      <c r="A12" s="3"/>
      <c r="B12" s="3"/>
      <c r="C12" s="3"/>
      <c r="D12" s="3"/>
      <c r="E12" s="3"/>
      <c r="F12" s="3"/>
      <c r="G12" s="3"/>
      <c r="H12" s="3"/>
      <c r="I12" s="3"/>
      <c r="J12" s="3"/>
      <c r="K12" s="3"/>
    </row>
    <row r="13" customFormat="false" ht="15" hidden="false" customHeight="false" outlineLevel="0" collapsed="false">
      <c r="A13" s="4" t="s">
        <v>17</v>
      </c>
      <c r="B13" s="4"/>
      <c r="C13" s="4"/>
      <c r="D13" s="4"/>
      <c r="E13" s="4"/>
      <c r="F13" s="4"/>
      <c r="G13" s="4"/>
      <c r="H13" s="4"/>
      <c r="I13" s="4"/>
      <c r="J13" s="4"/>
      <c r="K13" s="4"/>
    </row>
    <row r="14" customFormat="false" ht="15.75" hidden="false" customHeight="true" outlineLevel="0" collapsed="false">
      <c r="A14" s="12" t="s">
        <v>18</v>
      </c>
      <c r="B14" s="12"/>
      <c r="C14" s="12"/>
      <c r="D14" s="12"/>
      <c r="E14" s="13" t="n">
        <f aca="false">Overview!E10</f>
        <v>0</v>
      </c>
      <c r="F14" s="14"/>
      <c r="G14" s="14"/>
      <c r="H14" s="14"/>
      <c r="I14" s="14"/>
      <c r="J14" s="14"/>
      <c r="K14" s="14"/>
    </row>
    <row r="15" customFormat="false" ht="15.75" hidden="false" customHeight="true" outlineLevel="0" collapsed="false">
      <c r="A15" s="15" t="s">
        <v>19</v>
      </c>
      <c r="B15" s="15"/>
      <c r="C15" s="15"/>
      <c r="D15" s="15"/>
      <c r="E15" s="16" t="n">
        <f aca="false">IFERROR('Budget Planner'!I26,0)</f>
        <v>0</v>
      </c>
      <c r="F15" s="17"/>
      <c r="G15" s="17"/>
      <c r="H15" s="17"/>
      <c r="I15" s="17"/>
      <c r="J15" s="17"/>
      <c r="K15" s="17"/>
    </row>
    <row r="16" customFormat="false" ht="15.75" hidden="false" customHeight="true" outlineLevel="0" collapsed="false">
      <c r="A16" s="15" t="s">
        <v>20</v>
      </c>
      <c r="B16" s="15"/>
      <c r="C16" s="15"/>
      <c r="D16" s="15"/>
      <c r="E16" s="16" t="n">
        <f aca="false">IFERROR(Overview!E10-'Budget Planner'!I26,0)</f>
        <v>0</v>
      </c>
      <c r="F16" s="17"/>
      <c r="G16" s="17"/>
      <c r="H16" s="17"/>
      <c r="I16" s="17"/>
      <c r="J16" s="17"/>
      <c r="K16" s="17"/>
    </row>
    <row r="17" customFormat="false" ht="15.75" hidden="false" customHeight="true" outlineLevel="0" collapsed="false">
      <c r="A17" s="15" t="s">
        <v>21</v>
      </c>
      <c r="B17" s="15"/>
      <c r="C17" s="15"/>
      <c r="D17" s="15"/>
      <c r="E17" s="18" t="n">
        <f aca="false">IFERROR('Budget Planner'!I26/Overview!E10,0)</f>
        <v>0</v>
      </c>
      <c r="F17" s="17"/>
      <c r="G17" s="17"/>
      <c r="H17" s="17"/>
      <c r="I17" s="17"/>
      <c r="J17" s="17"/>
      <c r="K17" s="17"/>
    </row>
    <row r="18" customFormat="false" ht="27.75" hidden="false" customHeight="true" outlineLevel="0" collapsed="false">
      <c r="A18" s="19" t="s">
        <v>22</v>
      </c>
      <c r="B18" s="19"/>
      <c r="C18" s="19"/>
      <c r="D18" s="19"/>
      <c r="E18" s="19"/>
      <c r="F18" s="19"/>
      <c r="G18" s="19"/>
      <c r="H18" s="19"/>
      <c r="I18" s="19"/>
      <c r="J18" s="19"/>
      <c r="K18" s="19"/>
    </row>
    <row r="19" customFormat="false" ht="15" hidden="false" customHeight="false" outlineLevel="0" collapsed="false">
      <c r="A19" s="3"/>
      <c r="B19" s="3"/>
      <c r="C19" s="3"/>
      <c r="D19" s="3"/>
      <c r="E19" s="3"/>
      <c r="F19" s="3"/>
      <c r="G19" s="3"/>
      <c r="H19" s="3"/>
      <c r="I19" s="3"/>
      <c r="J19" s="3"/>
      <c r="K19" s="3"/>
    </row>
    <row r="20" customFormat="false" ht="15" hidden="false" customHeight="false" outlineLevel="0" collapsed="false">
      <c r="A20" s="4" t="s">
        <v>23</v>
      </c>
      <c r="B20" s="4"/>
      <c r="C20" s="4"/>
      <c r="D20" s="4"/>
      <c r="E20" s="4"/>
      <c r="F20" s="4"/>
      <c r="G20" s="4"/>
      <c r="H20" s="4"/>
      <c r="I20" s="4"/>
      <c r="J20" s="4"/>
      <c r="K20" s="4"/>
    </row>
    <row r="21" customFormat="false" ht="27.75" hidden="false" customHeight="true" outlineLevel="0" collapsed="false">
      <c r="A21" s="20" t="s">
        <v>24</v>
      </c>
      <c r="B21" s="21" t="s">
        <v>25</v>
      </c>
      <c r="C21" s="21"/>
      <c r="D21" s="21"/>
      <c r="E21" s="21"/>
      <c r="F21" s="21"/>
      <c r="G21" s="21"/>
      <c r="H21" s="21"/>
      <c r="I21" s="21"/>
      <c r="J21" s="21"/>
      <c r="K21" s="21"/>
    </row>
    <row r="22" customFormat="false" ht="27.75" hidden="false" customHeight="true" outlineLevel="0" collapsed="false">
      <c r="A22" s="20" t="s">
        <v>26</v>
      </c>
      <c r="B22" s="21" t="s">
        <v>27</v>
      </c>
      <c r="C22" s="21"/>
      <c r="D22" s="21"/>
      <c r="E22" s="21"/>
      <c r="F22" s="21"/>
      <c r="G22" s="21"/>
      <c r="H22" s="21"/>
      <c r="I22" s="21"/>
      <c r="J22" s="21"/>
      <c r="K22" s="21"/>
    </row>
    <row r="23" customFormat="false" ht="27.75" hidden="false" customHeight="true" outlineLevel="0" collapsed="false">
      <c r="A23" s="20" t="s">
        <v>28</v>
      </c>
      <c r="B23" s="21" t="s">
        <v>29</v>
      </c>
      <c r="C23" s="21"/>
      <c r="D23" s="21"/>
      <c r="E23" s="21"/>
      <c r="F23" s="21"/>
      <c r="G23" s="21"/>
      <c r="H23" s="21"/>
      <c r="I23" s="21"/>
      <c r="J23" s="21"/>
      <c r="K23" s="21"/>
    </row>
    <row r="24" customFormat="false" ht="27.75" hidden="false" customHeight="true" outlineLevel="0" collapsed="false">
      <c r="A24" s="20" t="s">
        <v>30</v>
      </c>
      <c r="B24" s="21" t="s">
        <v>31</v>
      </c>
      <c r="C24" s="21"/>
      <c r="D24" s="21"/>
      <c r="E24" s="21"/>
      <c r="F24" s="21"/>
      <c r="G24" s="21"/>
      <c r="H24" s="21"/>
      <c r="I24" s="21"/>
      <c r="J24" s="21"/>
      <c r="K24" s="21"/>
    </row>
    <row r="25" customFormat="false" ht="27.75" hidden="false" customHeight="true" outlineLevel="0" collapsed="false">
      <c r="A25" s="20" t="s">
        <v>32</v>
      </c>
      <c r="B25" s="21" t="s">
        <v>33</v>
      </c>
      <c r="C25" s="21"/>
      <c r="D25" s="21"/>
      <c r="E25" s="21"/>
      <c r="F25" s="21"/>
      <c r="G25" s="21"/>
      <c r="H25" s="21"/>
      <c r="I25" s="21"/>
      <c r="J25" s="21"/>
      <c r="K25" s="21"/>
    </row>
    <row r="26" customFormat="false" ht="27.75" hidden="false" customHeight="true" outlineLevel="0" collapsed="false">
      <c r="A26" s="20" t="s">
        <v>34</v>
      </c>
      <c r="B26" s="21" t="s">
        <v>35</v>
      </c>
      <c r="C26" s="21"/>
      <c r="D26" s="21"/>
      <c r="E26" s="21"/>
      <c r="F26" s="21"/>
      <c r="G26" s="21"/>
      <c r="H26" s="21"/>
      <c r="I26" s="21"/>
      <c r="J26" s="21"/>
      <c r="K26" s="21"/>
    </row>
    <row r="27" customFormat="false" ht="15" hidden="false" customHeight="false" outlineLevel="0" collapsed="false">
      <c r="A27" s="3"/>
      <c r="B27" s="3"/>
      <c r="C27" s="3"/>
      <c r="D27" s="3"/>
      <c r="E27" s="3"/>
      <c r="F27" s="3"/>
      <c r="G27" s="3"/>
      <c r="H27" s="3"/>
      <c r="I27" s="3"/>
      <c r="J27" s="3"/>
      <c r="K27" s="3"/>
    </row>
    <row r="28" customFormat="false" ht="15" hidden="false" customHeight="false" outlineLevel="0" collapsed="false">
      <c r="A28" s="4" t="s">
        <v>36</v>
      </c>
      <c r="B28" s="4"/>
      <c r="C28" s="4"/>
      <c r="D28" s="4"/>
      <c r="E28" s="4"/>
      <c r="F28" s="4"/>
      <c r="G28" s="4"/>
      <c r="H28" s="4"/>
      <c r="I28" s="4"/>
      <c r="J28" s="4"/>
      <c r="K28" s="4"/>
    </row>
    <row r="29" customFormat="false" ht="15" hidden="false" customHeight="false" outlineLevel="0" collapsed="false">
      <c r="A29" s="22" t="s">
        <v>37</v>
      </c>
      <c r="B29" s="23" t="s">
        <v>38</v>
      </c>
      <c r="C29" s="23"/>
      <c r="D29" s="23"/>
      <c r="E29" s="23"/>
      <c r="F29" s="23"/>
      <c r="G29" s="23"/>
      <c r="H29" s="23"/>
      <c r="I29" s="23"/>
      <c r="J29" s="23"/>
      <c r="K29" s="23"/>
    </row>
    <row r="30" customFormat="false" ht="15" hidden="false" customHeight="false" outlineLevel="0" collapsed="false">
      <c r="A30" s="24" t="s">
        <v>39</v>
      </c>
      <c r="B30" s="23" t="s">
        <v>40</v>
      </c>
      <c r="C30" s="23"/>
      <c r="D30" s="23"/>
      <c r="E30" s="23"/>
      <c r="F30" s="23"/>
      <c r="G30" s="23"/>
      <c r="H30" s="23"/>
      <c r="I30" s="23"/>
      <c r="J30" s="23"/>
      <c r="K30" s="23"/>
    </row>
    <row r="31" customFormat="false" ht="15" hidden="false" customHeight="false" outlineLevel="0" collapsed="false">
      <c r="A31" s="25" t="s">
        <v>41</v>
      </c>
      <c r="B31" s="23" t="s">
        <v>42</v>
      </c>
      <c r="C31" s="23"/>
      <c r="D31" s="23"/>
      <c r="E31" s="23"/>
      <c r="F31" s="23"/>
      <c r="G31" s="23"/>
      <c r="H31" s="23"/>
      <c r="I31" s="23"/>
      <c r="J31" s="23"/>
      <c r="K31" s="23"/>
    </row>
    <row r="32" customFormat="false" ht="15" hidden="false" customHeight="false" outlineLevel="0" collapsed="false">
      <c r="A32" s="26" t="s">
        <v>43</v>
      </c>
      <c r="B32" s="23" t="s">
        <v>44</v>
      </c>
      <c r="C32" s="23"/>
      <c r="D32" s="23"/>
      <c r="E32" s="23"/>
      <c r="F32" s="23"/>
      <c r="G32" s="23"/>
      <c r="H32" s="23"/>
      <c r="I32" s="23"/>
      <c r="J32" s="23"/>
      <c r="K32" s="23"/>
    </row>
  </sheetData>
  <mergeCells count="30">
    <mergeCell ref="A1:K1"/>
    <mergeCell ref="A2:K2"/>
    <mergeCell ref="A4:K4"/>
    <mergeCell ref="B5:F5"/>
    <mergeCell ref="H5:K5"/>
    <mergeCell ref="B6:D6"/>
    <mergeCell ref="H6:K6"/>
    <mergeCell ref="B7:F7"/>
    <mergeCell ref="H7:K7"/>
    <mergeCell ref="A9:K9"/>
    <mergeCell ref="A10:D10"/>
    <mergeCell ref="A11:K11"/>
    <mergeCell ref="A13:K13"/>
    <mergeCell ref="A14:D14"/>
    <mergeCell ref="A15:D15"/>
    <mergeCell ref="A16:D16"/>
    <mergeCell ref="A17:D17"/>
    <mergeCell ref="A18:K18"/>
    <mergeCell ref="A20:K20"/>
    <mergeCell ref="B21:K21"/>
    <mergeCell ref="B22:K22"/>
    <mergeCell ref="B23:K23"/>
    <mergeCell ref="B24:K24"/>
    <mergeCell ref="B25:K25"/>
    <mergeCell ref="B26:K26"/>
    <mergeCell ref="A28:K28"/>
    <mergeCell ref="B29:K29"/>
    <mergeCell ref="B30:K30"/>
    <mergeCell ref="B31:K31"/>
    <mergeCell ref="B32:K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7A72"/>
    <pageSetUpPr fitToPage="false"/>
  </sheetPr>
  <dimension ref="A1:K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6796875" defaultRowHeight="15" customHeight="true" zeroHeight="false" outlineLevelRow="0" outlineLevelCol="0"/>
  <cols>
    <col collapsed="false" customWidth="true" hidden="false" outlineLevel="0" max="1" min="1" style="0" width="38"/>
    <col collapsed="false" customWidth="true" hidden="false" outlineLevel="0" max="2" min="2" style="0" width="16"/>
    <col collapsed="false" customWidth="true" hidden="false" outlineLevel="0" max="8" min="3" style="0" width="14"/>
    <col collapsed="false" customWidth="true" hidden="false" outlineLevel="0" max="9" min="9" style="0" width="16"/>
    <col collapsed="false" customWidth="true" hidden="false" outlineLevel="0" max="10" min="10" style="0" width="13"/>
    <col collapsed="false" customWidth="true" hidden="false" outlineLevel="0" max="11" min="11" style="0" width="30"/>
  </cols>
  <sheetData>
    <row r="1" customFormat="false" ht="34.5" hidden="false" customHeight="true" outlineLevel="0" collapsed="false">
      <c r="A1" s="27" t="s">
        <v>45</v>
      </c>
      <c r="B1" s="27"/>
      <c r="C1" s="27"/>
      <c r="D1" s="27"/>
      <c r="E1" s="27"/>
      <c r="F1" s="27"/>
      <c r="G1" s="27"/>
      <c r="H1" s="27"/>
      <c r="I1" s="27"/>
      <c r="J1" s="27"/>
      <c r="K1" s="27"/>
    </row>
    <row r="2" customFormat="false" ht="21.75" hidden="false" customHeight="true" outlineLevel="0" collapsed="false">
      <c r="A2" s="28" t="s">
        <v>46</v>
      </c>
      <c r="B2" s="29" t="n">
        <f aca="false">Overview!$E$10</f>
        <v>0</v>
      </c>
      <c r="C2" s="29" t="n">
        <f aca="false">IFERROR(I26,0)</f>
        <v>0</v>
      </c>
      <c r="D2" s="29"/>
      <c r="E2" s="29" t="n">
        <f aca="false">IFERROR(Overview!E10-I26,0)</f>
        <v>0</v>
      </c>
      <c r="F2" s="29"/>
      <c r="G2" s="30" t="n">
        <f aca="false">IFERROR(I26/Overview!E10,0)</f>
        <v>0</v>
      </c>
      <c r="H2" s="30"/>
      <c r="I2" s="31"/>
      <c r="J2" s="31"/>
      <c r="K2" s="31"/>
    </row>
    <row r="3" customFormat="false" ht="39.75" hidden="false" customHeight="true" outlineLevel="0" collapsed="false">
      <c r="A3" s="32" t="s">
        <v>47</v>
      </c>
      <c r="B3" s="32"/>
      <c r="C3" s="32"/>
      <c r="D3" s="32"/>
      <c r="E3" s="32"/>
      <c r="F3" s="32"/>
      <c r="G3" s="32"/>
      <c r="H3" s="32"/>
      <c r="I3" s="32"/>
      <c r="J3" s="32"/>
      <c r="K3" s="32"/>
    </row>
    <row r="4" customFormat="false" ht="15" hidden="false" customHeight="false" outlineLevel="0" collapsed="false">
      <c r="A4" s="33" t="s">
        <v>48</v>
      </c>
      <c r="B4" s="33"/>
      <c r="C4" s="33"/>
      <c r="D4" s="33"/>
      <c r="E4" s="33"/>
      <c r="F4" s="33"/>
      <c r="G4" s="33"/>
      <c r="H4" s="33"/>
      <c r="I4" s="33"/>
      <c r="J4" s="33"/>
      <c r="K4" s="33"/>
    </row>
    <row r="5" customFormat="false" ht="15" hidden="false" customHeight="false" outlineLevel="0" collapsed="false">
      <c r="A5" s="3"/>
      <c r="B5" s="3"/>
      <c r="C5" s="3"/>
      <c r="D5" s="3"/>
      <c r="E5" s="3"/>
      <c r="F5" s="3"/>
      <c r="G5" s="3"/>
      <c r="H5" s="3"/>
      <c r="I5" s="3"/>
      <c r="J5" s="3"/>
      <c r="K5" s="3"/>
    </row>
    <row r="6" customFormat="false" ht="15" hidden="false" customHeight="false" outlineLevel="0" collapsed="false">
      <c r="A6" s="34" t="s">
        <v>49</v>
      </c>
      <c r="B6" s="35"/>
      <c r="C6" s="36" t="s">
        <v>50</v>
      </c>
      <c r="D6" s="36" t="s">
        <v>51</v>
      </c>
      <c r="E6" s="36" t="s">
        <v>52</v>
      </c>
      <c r="F6" s="36" t="s">
        <v>53</v>
      </c>
      <c r="G6" s="36" t="s">
        <v>54</v>
      </c>
      <c r="H6" s="36" t="s">
        <v>55</v>
      </c>
      <c r="I6" s="35"/>
      <c r="J6" s="35"/>
      <c r="K6" s="35"/>
    </row>
    <row r="7" customFormat="false" ht="30" hidden="false" customHeight="true" outlineLevel="0" collapsed="false">
      <c r="A7" s="37" t="s">
        <v>56</v>
      </c>
      <c r="B7" s="37" t="s">
        <v>57</v>
      </c>
      <c r="C7" s="37" t="s">
        <v>50</v>
      </c>
      <c r="D7" s="37" t="s">
        <v>51</v>
      </c>
      <c r="E7" s="37" t="s">
        <v>52</v>
      </c>
      <c r="F7" s="37" t="s">
        <v>53</v>
      </c>
      <c r="G7" s="37" t="s">
        <v>54</v>
      </c>
      <c r="H7" s="37" t="s">
        <v>55</v>
      </c>
      <c r="I7" s="37" t="s">
        <v>58</v>
      </c>
      <c r="J7" s="37" t="s">
        <v>59</v>
      </c>
      <c r="K7" s="37" t="s">
        <v>60</v>
      </c>
    </row>
    <row r="8" customFormat="false" ht="21.75" hidden="false" customHeight="true" outlineLevel="0" collapsed="false">
      <c r="A8" s="38" t="s">
        <v>61</v>
      </c>
      <c r="B8" s="39" t="s">
        <v>62</v>
      </c>
      <c r="C8" s="40"/>
      <c r="D8" s="40"/>
      <c r="E8" s="40"/>
      <c r="F8" s="40"/>
      <c r="G8" s="40"/>
      <c r="H8" s="40"/>
      <c r="I8" s="41" t="n">
        <f aca="false">IFERROR(C8+D8+E8+F8+G8+H8,0)</f>
        <v>0</v>
      </c>
      <c r="J8" s="42" t="n">
        <f aca="false">IFERROR(I8/Overview!$E$10,0)</f>
        <v>0</v>
      </c>
      <c r="K8" s="43"/>
    </row>
    <row r="9" customFormat="false" ht="21.75" hidden="false" customHeight="true" outlineLevel="0" collapsed="false">
      <c r="A9" s="38" t="s">
        <v>63</v>
      </c>
      <c r="B9" s="39" t="s">
        <v>62</v>
      </c>
      <c r="C9" s="40"/>
      <c r="D9" s="40"/>
      <c r="E9" s="40"/>
      <c r="F9" s="40"/>
      <c r="G9" s="40"/>
      <c r="H9" s="40"/>
      <c r="I9" s="41" t="n">
        <f aca="false">IFERROR(C9+D9+E9+F9+G9+H9,0)</f>
        <v>0</v>
      </c>
      <c r="J9" s="44" t="n">
        <f aca="false">IFERROR(I9/Overview!$E$10,0)</f>
        <v>0</v>
      </c>
      <c r="K9" s="43"/>
    </row>
    <row r="10" customFormat="false" ht="21.75" hidden="false" customHeight="true" outlineLevel="0" collapsed="false">
      <c r="A10" s="38" t="s">
        <v>64</v>
      </c>
      <c r="B10" s="39" t="s">
        <v>62</v>
      </c>
      <c r="C10" s="40"/>
      <c r="D10" s="40"/>
      <c r="E10" s="40"/>
      <c r="F10" s="40"/>
      <c r="G10" s="40"/>
      <c r="H10" s="40"/>
      <c r="I10" s="41" t="n">
        <f aca="false">IFERROR(C10+D10+E10+F10+G10+H10,0)</f>
        <v>0</v>
      </c>
      <c r="J10" s="42" t="n">
        <f aca="false">IFERROR(I10/Overview!$E$10,0)</f>
        <v>0</v>
      </c>
      <c r="K10" s="43"/>
    </row>
    <row r="11" customFormat="false" ht="21.75" hidden="false" customHeight="true" outlineLevel="0" collapsed="false">
      <c r="A11" s="38" t="s">
        <v>65</v>
      </c>
      <c r="B11" s="39" t="s">
        <v>62</v>
      </c>
      <c r="C11" s="40"/>
      <c r="D11" s="40"/>
      <c r="E11" s="40"/>
      <c r="F11" s="40"/>
      <c r="G11" s="40"/>
      <c r="H11" s="40"/>
      <c r="I11" s="41" t="n">
        <f aca="false">IFERROR(C11+D11+E11+F11+G11+H11,0)</f>
        <v>0</v>
      </c>
      <c r="J11" s="44" t="n">
        <f aca="false">IFERROR(I11/Overview!$E$10,0)</f>
        <v>0</v>
      </c>
      <c r="K11" s="43"/>
    </row>
    <row r="12" customFormat="false" ht="21.75" hidden="false" customHeight="true" outlineLevel="0" collapsed="false">
      <c r="A12" s="38" t="s">
        <v>66</v>
      </c>
      <c r="B12" s="39" t="s">
        <v>67</v>
      </c>
      <c r="C12" s="40"/>
      <c r="D12" s="40"/>
      <c r="E12" s="40"/>
      <c r="F12" s="40"/>
      <c r="G12" s="40"/>
      <c r="H12" s="40"/>
      <c r="I12" s="41" t="n">
        <f aca="false">IFERROR(C12+D12+E12+F12+G12+H12,0)</f>
        <v>0</v>
      </c>
      <c r="J12" s="42" t="n">
        <f aca="false">IFERROR(I12/Overview!$E$10,0)</f>
        <v>0</v>
      </c>
      <c r="K12" s="43"/>
    </row>
    <row r="13" customFormat="false" ht="21.75" hidden="false" customHeight="true" outlineLevel="0" collapsed="false">
      <c r="A13" s="38" t="s">
        <v>68</v>
      </c>
      <c r="B13" s="39" t="s">
        <v>69</v>
      </c>
      <c r="C13" s="40"/>
      <c r="D13" s="40"/>
      <c r="E13" s="40"/>
      <c r="F13" s="40"/>
      <c r="G13" s="40"/>
      <c r="H13" s="40"/>
      <c r="I13" s="41" t="n">
        <f aca="false">IFERROR(C13+D13+E13+F13+G13+H13,0)</f>
        <v>0</v>
      </c>
      <c r="J13" s="44" t="n">
        <f aca="false">IFERROR(I13/Overview!$E$10,0)</f>
        <v>0</v>
      </c>
      <c r="K13" s="43"/>
    </row>
    <row r="14" customFormat="false" ht="21.75" hidden="false" customHeight="true" outlineLevel="0" collapsed="false">
      <c r="A14" s="38" t="s">
        <v>70</v>
      </c>
      <c r="B14" s="39" t="s">
        <v>71</v>
      </c>
      <c r="C14" s="40"/>
      <c r="D14" s="40"/>
      <c r="E14" s="40"/>
      <c r="F14" s="40"/>
      <c r="G14" s="40"/>
      <c r="H14" s="40"/>
      <c r="I14" s="41" t="n">
        <f aca="false">IFERROR(C14+D14+E14+F14+G14+H14,0)</f>
        <v>0</v>
      </c>
      <c r="J14" s="42" t="n">
        <f aca="false">IFERROR(I14/Overview!$E$10,0)</f>
        <v>0</v>
      </c>
      <c r="K14" s="43"/>
    </row>
    <row r="15" customFormat="false" ht="21.75" hidden="false" customHeight="true" outlineLevel="0" collapsed="false">
      <c r="A15" s="38" t="s">
        <v>72</v>
      </c>
      <c r="B15" s="39" t="s">
        <v>73</v>
      </c>
      <c r="C15" s="40"/>
      <c r="D15" s="40"/>
      <c r="E15" s="40"/>
      <c r="F15" s="40"/>
      <c r="G15" s="40"/>
      <c r="H15" s="40"/>
      <c r="I15" s="41" t="n">
        <f aca="false">IFERROR(C15+D15+E15+F15+G15+H15,0)</f>
        <v>0</v>
      </c>
      <c r="J15" s="44" t="n">
        <f aca="false">IFERROR(I15/Overview!$E$10,0)</f>
        <v>0</v>
      </c>
      <c r="K15" s="43"/>
    </row>
    <row r="16" customFormat="false" ht="21.75" hidden="false" customHeight="true" outlineLevel="0" collapsed="false">
      <c r="A16" s="38" t="s">
        <v>74</v>
      </c>
      <c r="B16" s="39" t="s">
        <v>73</v>
      </c>
      <c r="C16" s="40"/>
      <c r="D16" s="40"/>
      <c r="E16" s="40"/>
      <c r="F16" s="40"/>
      <c r="G16" s="40"/>
      <c r="H16" s="40"/>
      <c r="I16" s="41" t="n">
        <f aca="false">IFERROR(C16+D16+E16+F16+G16+H16,0)</f>
        <v>0</v>
      </c>
      <c r="J16" s="42" t="n">
        <f aca="false">IFERROR(I16/Overview!$E$10,0)</f>
        <v>0</v>
      </c>
      <c r="K16" s="43"/>
    </row>
    <row r="17" customFormat="false" ht="21.75" hidden="false" customHeight="true" outlineLevel="0" collapsed="false">
      <c r="A17" s="38" t="s">
        <v>75</v>
      </c>
      <c r="B17" s="39" t="s">
        <v>73</v>
      </c>
      <c r="C17" s="40"/>
      <c r="D17" s="40"/>
      <c r="E17" s="40"/>
      <c r="F17" s="40"/>
      <c r="G17" s="40"/>
      <c r="H17" s="40"/>
      <c r="I17" s="41" t="n">
        <f aca="false">IFERROR(C17+D17+E17+F17+G17+H17,0)</f>
        <v>0</v>
      </c>
      <c r="J17" s="44" t="n">
        <f aca="false">IFERROR(I17/Overview!$E$10,0)</f>
        <v>0</v>
      </c>
      <c r="K17" s="43"/>
    </row>
    <row r="18" customFormat="false" ht="21.75" hidden="false" customHeight="true" outlineLevel="0" collapsed="false">
      <c r="A18" s="38" t="s">
        <v>76</v>
      </c>
      <c r="B18" s="39" t="s">
        <v>77</v>
      </c>
      <c r="C18" s="40"/>
      <c r="D18" s="40"/>
      <c r="E18" s="40"/>
      <c r="F18" s="40"/>
      <c r="G18" s="40"/>
      <c r="H18" s="40"/>
      <c r="I18" s="41" t="n">
        <f aca="false">IFERROR(C18+D18+E18+F18+G18+H18,0)</f>
        <v>0</v>
      </c>
      <c r="J18" s="42" t="n">
        <f aca="false">IFERROR(I18/Overview!$E$10,0)</f>
        <v>0</v>
      </c>
      <c r="K18" s="43"/>
    </row>
    <row r="19" customFormat="false" ht="21.75" hidden="false" customHeight="true" outlineLevel="0" collapsed="false">
      <c r="A19" s="38" t="s">
        <v>78</v>
      </c>
      <c r="B19" s="39" t="s">
        <v>79</v>
      </c>
      <c r="C19" s="40"/>
      <c r="D19" s="40"/>
      <c r="E19" s="40"/>
      <c r="F19" s="40"/>
      <c r="G19" s="40"/>
      <c r="H19" s="40"/>
      <c r="I19" s="41" t="n">
        <f aca="false">IFERROR(C19+D19+E19+F19+G19+H19,0)</f>
        <v>0</v>
      </c>
      <c r="J19" s="44" t="n">
        <f aca="false">IFERROR(I19/Overview!$E$10,0)</f>
        <v>0</v>
      </c>
      <c r="K19" s="43"/>
    </row>
    <row r="20" customFormat="false" ht="21.75" hidden="false" customHeight="true" outlineLevel="0" collapsed="false">
      <c r="A20" s="38" t="s">
        <v>80</v>
      </c>
      <c r="B20" s="39" t="s">
        <v>81</v>
      </c>
      <c r="C20" s="40"/>
      <c r="D20" s="40"/>
      <c r="E20" s="40"/>
      <c r="F20" s="40"/>
      <c r="G20" s="40"/>
      <c r="H20" s="40"/>
      <c r="I20" s="41" t="n">
        <f aca="false">IFERROR(C20+D20+E20+F20+G20+H20,0)</f>
        <v>0</v>
      </c>
      <c r="J20" s="42" t="n">
        <f aca="false">IFERROR(I20/Overview!$E$10,0)</f>
        <v>0</v>
      </c>
      <c r="K20" s="43"/>
    </row>
    <row r="21" customFormat="false" ht="21.75" hidden="false" customHeight="true" outlineLevel="0" collapsed="false">
      <c r="A21" s="38" t="s">
        <v>82</v>
      </c>
      <c r="B21" s="39" t="s">
        <v>83</v>
      </c>
      <c r="C21" s="40"/>
      <c r="D21" s="40"/>
      <c r="E21" s="40"/>
      <c r="F21" s="40"/>
      <c r="G21" s="40"/>
      <c r="H21" s="40"/>
      <c r="I21" s="41" t="n">
        <f aca="false">IFERROR(C21+D21+E21+F21+G21+H21,0)</f>
        <v>0</v>
      </c>
      <c r="J21" s="44" t="n">
        <f aca="false">IFERROR(I21/Overview!$E$10,0)</f>
        <v>0</v>
      </c>
      <c r="K21" s="43"/>
    </row>
    <row r="22" customFormat="false" ht="21.75" hidden="false" customHeight="true" outlineLevel="0" collapsed="false">
      <c r="A22" s="38" t="s">
        <v>84</v>
      </c>
      <c r="B22" s="39" t="s">
        <v>85</v>
      </c>
      <c r="C22" s="40"/>
      <c r="D22" s="40"/>
      <c r="E22" s="40"/>
      <c r="F22" s="40"/>
      <c r="G22" s="40"/>
      <c r="H22" s="40"/>
      <c r="I22" s="41" t="n">
        <f aca="false">IFERROR(C22+D22+E22+F22+G22+H22,0)</f>
        <v>0</v>
      </c>
      <c r="J22" s="42" t="n">
        <f aca="false">IFERROR(I22/Overview!$E$10,0)</f>
        <v>0</v>
      </c>
      <c r="K22" s="43"/>
    </row>
    <row r="23" customFormat="false" ht="21.75" hidden="false" customHeight="true" outlineLevel="0" collapsed="false">
      <c r="A23" s="38" t="s">
        <v>86</v>
      </c>
      <c r="B23" s="39" t="s">
        <v>87</v>
      </c>
      <c r="C23" s="40"/>
      <c r="D23" s="40"/>
      <c r="E23" s="40"/>
      <c r="F23" s="40"/>
      <c r="G23" s="40"/>
      <c r="H23" s="40"/>
      <c r="I23" s="41" t="n">
        <f aca="false">IFERROR(C23+D23+E23+F23+G23+H23,0)</f>
        <v>0</v>
      </c>
      <c r="J23" s="44" t="n">
        <f aca="false">IFERROR(I23/Overview!$E$10,0)</f>
        <v>0</v>
      </c>
      <c r="K23" s="43"/>
    </row>
    <row r="24" customFormat="false" ht="21.75" hidden="false" customHeight="true" outlineLevel="0" collapsed="false">
      <c r="A24" s="38" t="s">
        <v>88</v>
      </c>
      <c r="B24" s="39" t="s">
        <v>89</v>
      </c>
      <c r="C24" s="40"/>
      <c r="D24" s="40"/>
      <c r="E24" s="40"/>
      <c r="F24" s="40"/>
      <c r="G24" s="40"/>
      <c r="H24" s="40"/>
      <c r="I24" s="41" t="n">
        <f aca="false">IFERROR(C24+D24+E24+F24+G24+H24,0)</f>
        <v>0</v>
      </c>
      <c r="J24" s="42" t="n">
        <f aca="false">IFERROR(I24/Overview!$E$10,0)</f>
        <v>0</v>
      </c>
      <c r="K24" s="43"/>
    </row>
    <row r="25" customFormat="false" ht="21.75" hidden="false" customHeight="true" outlineLevel="0" collapsed="false">
      <c r="A25" s="38" t="s">
        <v>90</v>
      </c>
      <c r="B25" s="39" t="s">
        <v>91</v>
      </c>
      <c r="C25" s="40"/>
      <c r="D25" s="40"/>
      <c r="E25" s="40"/>
      <c r="F25" s="40"/>
      <c r="G25" s="40"/>
      <c r="H25" s="40"/>
      <c r="I25" s="41" t="n">
        <f aca="false">IFERROR(C25+D25+E25+F25+G25+H25,0)</f>
        <v>0</v>
      </c>
      <c r="J25" s="44" t="n">
        <f aca="false">IFERROR(I25/Overview!$E$10,0)</f>
        <v>0</v>
      </c>
      <c r="K25" s="43"/>
    </row>
    <row r="26" customFormat="false" ht="25.5" hidden="false" customHeight="true" outlineLevel="0" collapsed="false">
      <c r="A26" s="28" t="s">
        <v>92</v>
      </c>
      <c r="B26" s="31"/>
      <c r="C26" s="45" t="n">
        <f aca="false">IFERROR(SUM(C8:C25),0)</f>
        <v>0</v>
      </c>
      <c r="D26" s="45" t="n">
        <f aca="false">IFERROR(SUM(D8:D25),0)</f>
        <v>0</v>
      </c>
      <c r="E26" s="45" t="n">
        <f aca="false">IFERROR(SUM(E8:E25),0)</f>
        <v>0</v>
      </c>
      <c r="F26" s="45" t="n">
        <f aca="false">IFERROR(SUM(F8:F25),0)</f>
        <v>0</v>
      </c>
      <c r="G26" s="45" t="n">
        <f aca="false">IFERROR(SUM(G8:G25),0)</f>
        <v>0</v>
      </c>
      <c r="H26" s="45" t="n">
        <f aca="false">IFERROR(SUM(H8:H25),0)</f>
        <v>0</v>
      </c>
      <c r="I26" s="46" t="n">
        <f aca="false">IFERROR(SUM(I8:I25),0)</f>
        <v>0</v>
      </c>
      <c r="J26" s="47" t="n">
        <f aca="false">IFERROR(I26/Overview!$E$10,0)</f>
        <v>0</v>
      </c>
      <c r="K26" s="48" t="s">
        <v>93</v>
      </c>
    </row>
    <row r="27" customFormat="false" ht="21.75" hidden="false" customHeight="true" outlineLevel="0" collapsed="false">
      <c r="A27" s="49" t="s">
        <v>94</v>
      </c>
      <c r="B27" s="49"/>
      <c r="C27" s="50"/>
      <c r="D27" s="50"/>
      <c r="E27" s="50"/>
      <c r="F27" s="50"/>
      <c r="G27" s="50"/>
      <c r="H27" s="50"/>
      <c r="I27" s="51" t="n">
        <f aca="false">IFERROR(Overview!E10-I26,0)</f>
        <v>0</v>
      </c>
      <c r="J27" s="50"/>
      <c r="K27" s="26" t="s">
        <v>95</v>
      </c>
    </row>
    <row r="28" customFormat="false" ht="27.75" hidden="false" customHeight="true" outlineLevel="0" collapsed="false">
      <c r="A28" s="52" t="s">
        <v>96</v>
      </c>
      <c r="B28" s="52"/>
      <c r="C28" s="52"/>
      <c r="D28" s="52"/>
      <c r="E28" s="52"/>
      <c r="F28" s="52"/>
      <c r="G28" s="52"/>
      <c r="H28" s="52"/>
      <c r="I28" s="52"/>
      <c r="J28" s="52"/>
      <c r="K28" s="52"/>
    </row>
  </sheetData>
  <mergeCells count="8">
    <mergeCell ref="A1:K1"/>
    <mergeCell ref="C2:D2"/>
    <mergeCell ref="E2:F2"/>
    <mergeCell ref="G2:H2"/>
    <mergeCell ref="A3:K3"/>
    <mergeCell ref="A4:K4"/>
    <mergeCell ref="A27:B27"/>
    <mergeCell ref="A28:K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customHeight="true"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3" min="3" style="0" width="16"/>
    <col collapsed="false" customWidth="true" hidden="false" outlineLevel="0" max="4" min="4" style="0" width="18"/>
    <col collapsed="false" customWidth="true" hidden="false" outlineLevel="0" max="5" min="5" style="0" width="16"/>
    <col collapsed="false" customWidth="true" hidden="false" outlineLevel="0" max="6" min="6" style="0" width="24"/>
    <col collapsed="false" customWidth="true" hidden="false" outlineLevel="0" max="7" min="7" style="0" width="40"/>
  </cols>
  <sheetData>
    <row r="1" customFormat="false" ht="34.5" hidden="false" customHeight="true" outlineLevel="0" collapsed="false">
      <c r="A1" s="8" t="s">
        <v>97</v>
      </c>
      <c r="B1" s="8"/>
      <c r="C1" s="8"/>
      <c r="D1" s="8"/>
      <c r="E1" s="8"/>
      <c r="F1" s="8"/>
      <c r="G1" s="8"/>
    </row>
    <row r="2" customFormat="false" ht="34.5" hidden="false" customHeight="true" outlineLevel="0" collapsed="false">
      <c r="A2" s="53" t="s">
        <v>98</v>
      </c>
      <c r="B2" s="53"/>
      <c r="C2" s="53"/>
      <c r="D2" s="53"/>
      <c r="E2" s="53"/>
      <c r="F2" s="53"/>
      <c r="G2" s="53"/>
    </row>
    <row r="3" customFormat="false" ht="15" hidden="false" customHeight="false" outlineLevel="0" collapsed="false">
      <c r="A3" s="3"/>
      <c r="B3" s="3"/>
      <c r="C3" s="3"/>
      <c r="D3" s="3"/>
      <c r="E3" s="3"/>
      <c r="F3" s="3"/>
      <c r="G3" s="3"/>
    </row>
    <row r="4" customFormat="false" ht="34.5" hidden="false" customHeight="true" outlineLevel="0" collapsed="false">
      <c r="A4" s="54" t="s">
        <v>99</v>
      </c>
      <c r="B4" s="54" t="s">
        <v>100</v>
      </c>
      <c r="C4" s="54" t="s">
        <v>101</v>
      </c>
      <c r="D4" s="54" t="s">
        <v>102</v>
      </c>
      <c r="E4" s="54" t="s">
        <v>103</v>
      </c>
      <c r="F4" s="54" t="s">
        <v>104</v>
      </c>
      <c r="G4" s="54" t="s">
        <v>105</v>
      </c>
    </row>
    <row r="5" customFormat="false" ht="21.75" hidden="false" customHeight="true" outlineLevel="0" collapsed="false">
      <c r="A5" s="55" t="s">
        <v>106</v>
      </c>
      <c r="B5" s="55"/>
      <c r="C5" s="55"/>
      <c r="D5" s="55"/>
      <c r="E5" s="55"/>
      <c r="F5" s="55"/>
      <c r="G5" s="55"/>
    </row>
    <row r="6" customFormat="false" ht="21.75" hidden="false" customHeight="true" outlineLevel="0" collapsed="false">
      <c r="A6" s="56" t="s">
        <v>107</v>
      </c>
      <c r="B6" s="57" t="s">
        <v>108</v>
      </c>
      <c r="C6" s="58" t="n">
        <v>5</v>
      </c>
      <c r="D6" s="59" t="n">
        <v>9</v>
      </c>
      <c r="E6" s="58" t="n">
        <v>18</v>
      </c>
      <c r="F6" s="60" t="s">
        <v>109</v>
      </c>
      <c r="G6" s="61" t="s">
        <v>110</v>
      </c>
    </row>
    <row r="7" customFormat="false" ht="21.75" hidden="false" customHeight="true" outlineLevel="0" collapsed="false">
      <c r="A7" s="62" t="s">
        <v>107</v>
      </c>
      <c r="B7" s="63" t="s">
        <v>111</v>
      </c>
      <c r="C7" s="64" t="n">
        <v>0.4</v>
      </c>
      <c r="D7" s="59" t="n">
        <v>0.85</v>
      </c>
      <c r="E7" s="64" t="n">
        <v>2.5</v>
      </c>
      <c r="F7" s="65" t="s">
        <v>112</v>
      </c>
      <c r="G7" s="61" t="s">
        <v>113</v>
      </c>
    </row>
    <row r="8" customFormat="false" ht="21.75" hidden="false" customHeight="true" outlineLevel="0" collapsed="false">
      <c r="A8" s="56" t="s">
        <v>107</v>
      </c>
      <c r="B8" s="57" t="s">
        <v>114</v>
      </c>
      <c r="C8" s="58" t="n">
        <v>5</v>
      </c>
      <c r="D8" s="59" t="n">
        <v>15</v>
      </c>
      <c r="E8" s="58" t="n">
        <v>40</v>
      </c>
      <c r="F8" s="60" t="s">
        <v>115</v>
      </c>
      <c r="G8" s="61" t="s">
        <v>116</v>
      </c>
    </row>
    <row r="9" customFormat="false" ht="21.75" hidden="false" customHeight="true" outlineLevel="0" collapsed="false">
      <c r="A9" s="62" t="s">
        <v>117</v>
      </c>
      <c r="B9" s="63" t="s">
        <v>108</v>
      </c>
      <c r="C9" s="64" t="n">
        <v>4</v>
      </c>
      <c r="D9" s="59" t="n">
        <v>7.5</v>
      </c>
      <c r="E9" s="64" t="n">
        <v>14</v>
      </c>
      <c r="F9" s="65" t="s">
        <v>109</v>
      </c>
      <c r="G9" s="61" t="s">
        <v>118</v>
      </c>
    </row>
    <row r="10" customFormat="false" ht="21.75" hidden="false" customHeight="true" outlineLevel="0" collapsed="false">
      <c r="A10" s="56" t="s">
        <v>117</v>
      </c>
      <c r="B10" s="57" t="s">
        <v>111</v>
      </c>
      <c r="C10" s="58" t="n">
        <v>0.2</v>
      </c>
      <c r="D10" s="59" t="n">
        <v>0.55</v>
      </c>
      <c r="E10" s="58" t="n">
        <v>1.5</v>
      </c>
      <c r="F10" s="60" t="s">
        <v>112</v>
      </c>
      <c r="G10" s="61"/>
    </row>
    <row r="11" customFormat="false" ht="21.75" hidden="false" customHeight="true" outlineLevel="0" collapsed="false">
      <c r="A11" s="62" t="s">
        <v>119</v>
      </c>
      <c r="B11" s="63" t="s">
        <v>108</v>
      </c>
      <c r="C11" s="64" t="n">
        <v>15</v>
      </c>
      <c r="D11" s="59" t="n">
        <v>28</v>
      </c>
      <c r="E11" s="64" t="n">
        <v>50</v>
      </c>
      <c r="F11" s="65" t="s">
        <v>109</v>
      </c>
      <c r="G11" s="61" t="s">
        <v>120</v>
      </c>
    </row>
    <row r="12" customFormat="false" ht="21.75" hidden="false" customHeight="true" outlineLevel="0" collapsed="false">
      <c r="A12" s="56" t="s">
        <v>119</v>
      </c>
      <c r="B12" s="57" t="s">
        <v>111</v>
      </c>
      <c r="C12" s="58" t="n">
        <v>3.5</v>
      </c>
      <c r="D12" s="59" t="n">
        <v>7</v>
      </c>
      <c r="E12" s="58" t="n">
        <v>15</v>
      </c>
      <c r="F12" s="60" t="s">
        <v>112</v>
      </c>
      <c r="G12" s="61"/>
    </row>
    <row r="13" customFormat="false" ht="21.75" hidden="false" customHeight="true" outlineLevel="0" collapsed="false">
      <c r="A13" s="62" t="s">
        <v>121</v>
      </c>
      <c r="B13" s="63" t="s">
        <v>108</v>
      </c>
      <c r="C13" s="64" t="n">
        <v>4</v>
      </c>
      <c r="D13" s="59" t="n">
        <v>8</v>
      </c>
      <c r="E13" s="64" t="n">
        <v>16</v>
      </c>
      <c r="F13" s="65" t="s">
        <v>109</v>
      </c>
      <c r="G13" s="61"/>
    </row>
    <row r="14" customFormat="false" ht="21.75" hidden="false" customHeight="true" outlineLevel="0" collapsed="false">
      <c r="A14" s="56" t="s">
        <v>121</v>
      </c>
      <c r="B14" s="57" t="s">
        <v>111</v>
      </c>
      <c r="C14" s="58" t="n">
        <v>0.3</v>
      </c>
      <c r="D14" s="59" t="n">
        <v>0.75</v>
      </c>
      <c r="E14" s="58" t="n">
        <v>2</v>
      </c>
      <c r="F14" s="60" t="s">
        <v>112</v>
      </c>
      <c r="G14" s="61"/>
    </row>
    <row r="15" customFormat="false" ht="21.75" hidden="false" customHeight="true" outlineLevel="0" collapsed="false">
      <c r="A15" s="55" t="s">
        <v>122</v>
      </c>
      <c r="B15" s="55"/>
      <c r="C15" s="55"/>
      <c r="D15" s="55"/>
      <c r="E15" s="55"/>
      <c r="F15" s="55"/>
      <c r="G15" s="55"/>
    </row>
    <row r="16" customFormat="false" ht="21.75" hidden="false" customHeight="true" outlineLevel="0" collapsed="false">
      <c r="A16" s="56" t="s">
        <v>66</v>
      </c>
      <c r="B16" s="57" t="s">
        <v>111</v>
      </c>
      <c r="C16" s="58" t="n">
        <v>0.5</v>
      </c>
      <c r="D16" s="59" t="n">
        <v>2.5</v>
      </c>
      <c r="E16" s="58" t="n">
        <v>10</v>
      </c>
      <c r="F16" s="60" t="s">
        <v>112</v>
      </c>
      <c r="G16" s="61" t="s">
        <v>123</v>
      </c>
    </row>
    <row r="17" customFormat="false" ht="21.75" hidden="false" customHeight="true" outlineLevel="0" collapsed="false">
      <c r="A17" s="62" t="s">
        <v>66</v>
      </c>
      <c r="B17" s="63" t="s">
        <v>114</v>
      </c>
      <c r="C17" s="64" t="n">
        <v>15</v>
      </c>
      <c r="D17" s="59" t="n">
        <v>50</v>
      </c>
      <c r="E17" s="64" t="n">
        <v>150</v>
      </c>
      <c r="F17" s="65" t="s">
        <v>115</v>
      </c>
      <c r="G17" s="61" t="s">
        <v>124</v>
      </c>
    </row>
    <row r="18" customFormat="false" ht="21.75" hidden="false" customHeight="true" outlineLevel="0" collapsed="false">
      <c r="A18" s="55" t="s">
        <v>125</v>
      </c>
      <c r="B18" s="55"/>
      <c r="C18" s="55"/>
      <c r="D18" s="55"/>
      <c r="E18" s="55"/>
      <c r="F18" s="55"/>
      <c r="G18" s="55"/>
    </row>
    <row r="19" customFormat="false" ht="21.75" hidden="false" customHeight="true" outlineLevel="0" collapsed="false">
      <c r="A19" s="56" t="s">
        <v>68</v>
      </c>
      <c r="B19" s="57" t="s">
        <v>108</v>
      </c>
      <c r="C19" s="58" t="n">
        <v>1</v>
      </c>
      <c r="D19" s="59" t="n">
        <v>2.5</v>
      </c>
      <c r="E19" s="58" t="n">
        <v>6</v>
      </c>
      <c r="F19" s="60" t="s">
        <v>109</v>
      </c>
      <c r="G19" s="61" t="s">
        <v>126</v>
      </c>
    </row>
    <row r="20" customFormat="false" ht="21.75" hidden="false" customHeight="true" outlineLevel="0" collapsed="false">
      <c r="A20" s="62" t="s">
        <v>127</v>
      </c>
      <c r="B20" s="63" t="s">
        <v>128</v>
      </c>
      <c r="C20" s="64" t="n">
        <v>0.01</v>
      </c>
      <c r="D20" s="59" t="n">
        <v>0.03</v>
      </c>
      <c r="E20" s="64" t="n">
        <v>0.08</v>
      </c>
      <c r="F20" s="65" t="s">
        <v>129</v>
      </c>
      <c r="G20" s="61" t="s">
        <v>130</v>
      </c>
    </row>
    <row r="21" customFormat="false" ht="21.75" hidden="false" customHeight="true" outlineLevel="0" collapsed="false">
      <c r="A21" s="56" t="s">
        <v>127</v>
      </c>
      <c r="B21" s="57" t="s">
        <v>108</v>
      </c>
      <c r="C21" s="58" t="n">
        <v>6</v>
      </c>
      <c r="D21" s="59" t="n">
        <v>11</v>
      </c>
      <c r="E21" s="58" t="n">
        <v>22</v>
      </c>
      <c r="F21" s="60" t="s">
        <v>109</v>
      </c>
      <c r="G21" s="61"/>
    </row>
    <row r="22" customFormat="false" ht="21.75" hidden="false" customHeight="true" outlineLevel="0" collapsed="false">
      <c r="A22" s="55" t="s">
        <v>131</v>
      </c>
      <c r="B22" s="55"/>
      <c r="C22" s="55"/>
      <c r="D22" s="55"/>
      <c r="E22" s="55"/>
      <c r="F22" s="55"/>
      <c r="G22" s="55"/>
    </row>
    <row r="23" customFormat="false" ht="21.75" hidden="false" customHeight="true" outlineLevel="0" collapsed="false">
      <c r="A23" s="56" t="s">
        <v>132</v>
      </c>
      <c r="B23" s="57" t="s">
        <v>133</v>
      </c>
      <c r="C23" s="58" t="n">
        <v>30</v>
      </c>
      <c r="D23" s="59" t="n">
        <v>150</v>
      </c>
      <c r="E23" s="58" t="n">
        <v>500</v>
      </c>
      <c r="F23" s="60" t="s">
        <v>134</v>
      </c>
      <c r="G23" s="61" t="s">
        <v>135</v>
      </c>
    </row>
    <row r="24" customFormat="false" ht="21.75" hidden="false" customHeight="true" outlineLevel="0" collapsed="false">
      <c r="A24" s="62" t="s">
        <v>136</v>
      </c>
      <c r="B24" s="63" t="s">
        <v>133</v>
      </c>
      <c r="C24" s="64" t="n">
        <v>100</v>
      </c>
      <c r="D24" s="59" t="n">
        <v>600</v>
      </c>
      <c r="E24" s="64" t="n">
        <v>2000</v>
      </c>
      <c r="F24" s="65" t="s">
        <v>134</v>
      </c>
      <c r="G24" s="61" t="s">
        <v>137</v>
      </c>
    </row>
    <row r="25" customFormat="false" ht="21.75" hidden="false" customHeight="true" outlineLevel="0" collapsed="false">
      <c r="A25" s="56" t="s">
        <v>138</v>
      </c>
      <c r="B25" s="57" t="s">
        <v>133</v>
      </c>
      <c r="C25" s="58" t="n">
        <v>2000</v>
      </c>
      <c r="D25" s="59" t="n">
        <v>7500</v>
      </c>
      <c r="E25" s="58" t="n">
        <v>20000</v>
      </c>
      <c r="F25" s="60" t="s">
        <v>134</v>
      </c>
      <c r="G25" s="61" t="s">
        <v>139</v>
      </c>
    </row>
    <row r="26" customFormat="false" ht="21.75" hidden="false" customHeight="true" outlineLevel="0" collapsed="false">
      <c r="A26" s="62" t="s">
        <v>140</v>
      </c>
      <c r="B26" s="63" t="s">
        <v>133</v>
      </c>
      <c r="C26" s="64" t="n">
        <v>20000</v>
      </c>
      <c r="D26" s="59" t="n">
        <v>60000</v>
      </c>
      <c r="E26" s="64" t="n">
        <v>200000</v>
      </c>
      <c r="F26" s="65" t="s">
        <v>134</v>
      </c>
      <c r="G26" s="61" t="s">
        <v>141</v>
      </c>
    </row>
    <row r="27" customFormat="false" ht="15" hidden="false" customHeight="false" outlineLevel="0" collapsed="false">
      <c r="A27" s="66" t="s">
        <v>142</v>
      </c>
      <c r="B27" s="66"/>
      <c r="C27" s="66"/>
      <c r="D27" s="66"/>
      <c r="E27" s="66"/>
      <c r="F27" s="66"/>
      <c r="G27" s="66"/>
    </row>
    <row r="28" customFormat="false" ht="21.75" hidden="false" customHeight="true" outlineLevel="0" collapsed="false">
      <c r="A28" s="55" t="s">
        <v>143</v>
      </c>
      <c r="B28" s="55"/>
      <c r="C28" s="55"/>
      <c r="D28" s="55"/>
      <c r="E28" s="55"/>
      <c r="F28" s="55"/>
      <c r="G28" s="55"/>
    </row>
    <row r="29" customFormat="false" ht="21.75" hidden="false" customHeight="true" outlineLevel="0" collapsed="false">
      <c r="A29" s="56" t="s">
        <v>144</v>
      </c>
      <c r="B29" s="57" t="s">
        <v>145</v>
      </c>
      <c r="C29" s="58" t="n">
        <v>3</v>
      </c>
      <c r="D29" s="59" t="n">
        <v>10</v>
      </c>
      <c r="E29" s="58" t="n">
        <v>30</v>
      </c>
      <c r="F29" s="60" t="s">
        <v>146</v>
      </c>
      <c r="G29" s="61" t="s">
        <v>147</v>
      </c>
    </row>
    <row r="30" customFormat="false" ht="21.75" hidden="false" customHeight="true" outlineLevel="0" collapsed="false">
      <c r="A30" s="62" t="s">
        <v>148</v>
      </c>
      <c r="B30" s="63" t="s">
        <v>149</v>
      </c>
      <c r="C30" s="64" t="n">
        <v>200</v>
      </c>
      <c r="D30" s="59" t="n">
        <v>500</v>
      </c>
      <c r="E30" s="64" t="n">
        <v>1500</v>
      </c>
      <c r="F30" s="65" t="s">
        <v>150</v>
      </c>
      <c r="G30" s="61" t="s">
        <v>151</v>
      </c>
    </row>
    <row r="31" customFormat="false" ht="21.75" hidden="false" customHeight="true" outlineLevel="0" collapsed="false">
      <c r="A31" s="55" t="s">
        <v>152</v>
      </c>
      <c r="B31" s="55"/>
      <c r="C31" s="55"/>
      <c r="D31" s="55"/>
      <c r="E31" s="55"/>
      <c r="F31" s="55"/>
      <c r="G31" s="55"/>
    </row>
    <row r="32" customFormat="false" ht="21.75" hidden="false" customHeight="true" outlineLevel="0" collapsed="false">
      <c r="A32" s="56" t="s">
        <v>153</v>
      </c>
      <c r="B32" s="57" t="s">
        <v>154</v>
      </c>
      <c r="C32" s="58" t="n">
        <v>1500</v>
      </c>
      <c r="D32" s="59" t="n">
        <v>4000</v>
      </c>
      <c r="E32" s="58" t="n">
        <v>10000</v>
      </c>
      <c r="F32" s="60" t="s">
        <v>155</v>
      </c>
      <c r="G32" s="61" t="s">
        <v>156</v>
      </c>
    </row>
    <row r="33" customFormat="false" ht="21.75" hidden="false" customHeight="true" outlineLevel="0" collapsed="false">
      <c r="A33" s="62" t="s">
        <v>157</v>
      </c>
      <c r="B33" s="63" t="s">
        <v>158</v>
      </c>
      <c r="C33" s="64" t="n">
        <v>300</v>
      </c>
      <c r="D33" s="59" t="n">
        <v>700</v>
      </c>
      <c r="E33" s="64" t="n">
        <v>2000</v>
      </c>
      <c r="F33" s="65" t="s">
        <v>159</v>
      </c>
      <c r="G33" s="61" t="s">
        <v>160</v>
      </c>
    </row>
    <row r="34" customFormat="false" ht="21.75" hidden="false" customHeight="true" outlineLevel="0" collapsed="false">
      <c r="A34" s="55" t="s">
        <v>161</v>
      </c>
      <c r="B34" s="55"/>
      <c r="C34" s="55"/>
      <c r="D34" s="55"/>
      <c r="E34" s="55"/>
      <c r="F34" s="55"/>
      <c r="G34" s="55"/>
    </row>
    <row r="35" customFormat="false" ht="21.75" hidden="false" customHeight="true" outlineLevel="0" collapsed="false">
      <c r="A35" s="56" t="s">
        <v>162</v>
      </c>
      <c r="B35" s="57" t="s">
        <v>163</v>
      </c>
      <c r="C35" s="58" t="n">
        <v>400</v>
      </c>
      <c r="D35" s="59" t="n">
        <v>1000</v>
      </c>
      <c r="E35" s="58" t="n">
        <v>2500</v>
      </c>
      <c r="F35" s="60" t="s">
        <v>164</v>
      </c>
      <c r="G35" s="61" t="s">
        <v>165</v>
      </c>
    </row>
    <row r="36" customFormat="false" ht="21.75" hidden="false" customHeight="true" outlineLevel="0" collapsed="false">
      <c r="A36" s="62" t="s">
        <v>166</v>
      </c>
      <c r="B36" s="63" t="s">
        <v>163</v>
      </c>
      <c r="C36" s="64" t="n">
        <v>100</v>
      </c>
      <c r="D36" s="59" t="n">
        <v>250</v>
      </c>
      <c r="E36" s="64" t="n">
        <v>600</v>
      </c>
      <c r="F36" s="65" t="s">
        <v>164</v>
      </c>
      <c r="G36" s="61" t="s">
        <v>167</v>
      </c>
    </row>
    <row r="37" customFormat="false" ht="21.75" hidden="false" customHeight="true" outlineLevel="0" collapsed="false">
      <c r="A37" s="56" t="s">
        <v>168</v>
      </c>
      <c r="B37" s="57" t="s">
        <v>163</v>
      </c>
      <c r="C37" s="58" t="n">
        <v>500</v>
      </c>
      <c r="D37" s="59" t="n">
        <v>1500</v>
      </c>
      <c r="E37" s="58" t="n">
        <v>5000</v>
      </c>
      <c r="F37" s="60" t="s">
        <v>164</v>
      </c>
      <c r="G37" s="61" t="s">
        <v>169</v>
      </c>
    </row>
    <row r="38" customFormat="false" ht="21.75" hidden="false" customHeight="true" outlineLevel="0" collapsed="false">
      <c r="A38" s="55" t="s">
        <v>170</v>
      </c>
      <c r="B38" s="55"/>
      <c r="C38" s="55"/>
      <c r="D38" s="55"/>
      <c r="E38" s="55"/>
      <c r="F38" s="55"/>
      <c r="G38" s="55"/>
    </row>
    <row r="39" customFormat="false" ht="21.75" hidden="false" customHeight="true" outlineLevel="0" collapsed="false">
      <c r="A39" s="56" t="s">
        <v>171</v>
      </c>
      <c r="B39" s="57" t="s">
        <v>172</v>
      </c>
      <c r="C39" s="58" t="n">
        <v>100</v>
      </c>
      <c r="D39" s="59" t="n">
        <v>400</v>
      </c>
      <c r="E39" s="58" t="n">
        <v>1500</v>
      </c>
      <c r="F39" s="60" t="s">
        <v>173</v>
      </c>
      <c r="G39" s="61" t="s">
        <v>174</v>
      </c>
    </row>
    <row r="40" customFormat="false" ht="21.75" hidden="false" customHeight="true" outlineLevel="0" collapsed="false">
      <c r="A40" s="62" t="s">
        <v>175</v>
      </c>
      <c r="B40" s="63" t="s">
        <v>172</v>
      </c>
      <c r="C40" s="64" t="n">
        <v>2000</v>
      </c>
      <c r="D40" s="59" t="n">
        <v>8000</v>
      </c>
      <c r="E40" s="64" t="n">
        <v>30000</v>
      </c>
      <c r="F40" s="65" t="s">
        <v>173</v>
      </c>
      <c r="G40" s="61" t="s">
        <v>176</v>
      </c>
    </row>
    <row r="41" customFormat="false" ht="21.75" hidden="false" customHeight="true" outlineLevel="0" collapsed="false">
      <c r="A41" s="56" t="s">
        <v>177</v>
      </c>
      <c r="B41" s="57" t="s">
        <v>178</v>
      </c>
      <c r="C41" s="58" t="n">
        <v>300</v>
      </c>
      <c r="D41" s="59" t="n">
        <v>1500</v>
      </c>
      <c r="E41" s="58" t="n">
        <v>8000</v>
      </c>
      <c r="F41" s="60" t="s">
        <v>178</v>
      </c>
      <c r="G41" s="61" t="s">
        <v>179</v>
      </c>
    </row>
    <row r="42" customFormat="false" ht="21.75" hidden="false" customHeight="true" outlineLevel="0" collapsed="false">
      <c r="A42" s="55" t="s">
        <v>180</v>
      </c>
      <c r="B42" s="55"/>
      <c r="C42" s="55"/>
      <c r="D42" s="55"/>
      <c r="E42" s="55"/>
      <c r="F42" s="55"/>
      <c r="G42" s="55"/>
    </row>
    <row r="43" customFormat="false" ht="21.75" hidden="false" customHeight="true" outlineLevel="0" collapsed="false">
      <c r="A43" s="56" t="s">
        <v>181</v>
      </c>
      <c r="B43" s="57" t="s">
        <v>182</v>
      </c>
      <c r="C43" s="58" t="n">
        <v>1500</v>
      </c>
      <c r="D43" s="59" t="n">
        <v>4000</v>
      </c>
      <c r="E43" s="58" t="n">
        <v>12000</v>
      </c>
      <c r="F43" s="60" t="s">
        <v>183</v>
      </c>
      <c r="G43" s="61" t="s">
        <v>184</v>
      </c>
    </row>
    <row r="44" customFormat="false" ht="21.75" hidden="false" customHeight="true" outlineLevel="0" collapsed="false">
      <c r="A44" s="62" t="s">
        <v>185</v>
      </c>
      <c r="B44" s="63" t="s">
        <v>182</v>
      </c>
      <c r="C44" s="64" t="n">
        <v>500</v>
      </c>
      <c r="D44" s="59" t="n">
        <v>1500</v>
      </c>
      <c r="E44" s="64" t="n">
        <v>4500</v>
      </c>
      <c r="F44" s="65" t="s">
        <v>183</v>
      </c>
      <c r="G44" s="61" t="s">
        <v>186</v>
      </c>
    </row>
    <row r="45" customFormat="false" ht="21.75" hidden="false" customHeight="true" outlineLevel="0" collapsed="false">
      <c r="A45" s="56" t="s">
        <v>187</v>
      </c>
      <c r="B45" s="57" t="s">
        <v>182</v>
      </c>
      <c r="C45" s="58" t="n">
        <v>300</v>
      </c>
      <c r="D45" s="59" t="n">
        <v>600</v>
      </c>
      <c r="E45" s="58" t="n">
        <v>1200</v>
      </c>
      <c r="F45" s="60" t="s">
        <v>182</v>
      </c>
      <c r="G45" s="61" t="s">
        <v>188</v>
      </c>
    </row>
    <row r="46" customFormat="false" ht="21.75" hidden="false" customHeight="true" outlineLevel="0" collapsed="false">
      <c r="A46" s="55" t="s">
        <v>189</v>
      </c>
      <c r="B46" s="55"/>
      <c r="C46" s="55"/>
      <c r="D46" s="55"/>
      <c r="E46" s="55"/>
      <c r="F46" s="55"/>
      <c r="G46" s="55"/>
    </row>
    <row r="47" customFormat="false" ht="21.75" hidden="false" customHeight="true" outlineLevel="0" collapsed="false">
      <c r="A47" s="56" t="s">
        <v>190</v>
      </c>
      <c r="B47" s="57" t="s">
        <v>191</v>
      </c>
      <c r="C47" s="58" t="n">
        <v>1000</v>
      </c>
      <c r="D47" s="59" t="n">
        <v>5000</v>
      </c>
      <c r="E47" s="58" t="n">
        <v>20000</v>
      </c>
      <c r="F47" s="60" t="s">
        <v>192</v>
      </c>
      <c r="G47" s="61" t="s">
        <v>193</v>
      </c>
    </row>
    <row r="48" customFormat="false" ht="21.75" hidden="false" customHeight="true" outlineLevel="0" collapsed="false">
      <c r="A48" s="62" t="s">
        <v>194</v>
      </c>
      <c r="B48" s="63" t="s">
        <v>191</v>
      </c>
      <c r="C48" s="64" t="n">
        <v>10000</v>
      </c>
      <c r="D48" s="59" t="n">
        <v>30000</v>
      </c>
      <c r="E48" s="64" t="n">
        <v>80000</v>
      </c>
      <c r="F48" s="65" t="s">
        <v>192</v>
      </c>
      <c r="G48" s="61" t="s">
        <v>195</v>
      </c>
    </row>
    <row r="49" customFormat="false" ht="21.75" hidden="false" customHeight="true" outlineLevel="0" collapsed="false">
      <c r="A49" s="56" t="s">
        <v>196</v>
      </c>
      <c r="B49" s="57" t="s">
        <v>182</v>
      </c>
      <c r="C49" s="58" t="n">
        <v>500</v>
      </c>
      <c r="D49" s="59" t="n">
        <v>2500</v>
      </c>
      <c r="E49" s="58" t="n">
        <v>10000</v>
      </c>
      <c r="F49" s="60" t="s">
        <v>182</v>
      </c>
      <c r="G49" s="61" t="s">
        <v>197</v>
      </c>
    </row>
    <row r="51" customFormat="false" ht="15" hidden="false" customHeight="false" outlineLevel="0" collapsed="false">
      <c r="A51" s="3"/>
      <c r="B51" s="3"/>
      <c r="C51" s="3"/>
      <c r="D51" s="3"/>
      <c r="E51" s="3"/>
      <c r="F51" s="3"/>
      <c r="G51" s="3"/>
    </row>
    <row r="52" customFormat="false" ht="27.75" hidden="false" customHeight="true" outlineLevel="0" collapsed="false">
      <c r="A52" s="32" t="s">
        <v>198</v>
      </c>
      <c r="B52" s="32"/>
      <c r="C52" s="32"/>
      <c r="D52" s="32"/>
      <c r="E52" s="32"/>
      <c r="F52" s="32"/>
      <c r="G52" s="32"/>
    </row>
    <row r="53" customFormat="false" ht="27.75" hidden="false" customHeight="true" outlineLevel="0" collapsed="false">
      <c r="A53" s="67" t="s">
        <v>199</v>
      </c>
      <c r="B53" s="67"/>
      <c r="C53" s="67"/>
      <c r="D53" s="67"/>
      <c r="E53" s="67"/>
      <c r="F53" s="67"/>
      <c r="G53" s="67"/>
    </row>
  </sheetData>
  <mergeCells count="15">
    <mergeCell ref="A1:G1"/>
    <mergeCell ref="A2:G2"/>
    <mergeCell ref="A5:G5"/>
    <mergeCell ref="A15:G15"/>
    <mergeCell ref="A18:G18"/>
    <mergeCell ref="A22:G22"/>
    <mergeCell ref="A27:G27"/>
    <mergeCell ref="A28:G28"/>
    <mergeCell ref="A31:G31"/>
    <mergeCell ref="A34:G34"/>
    <mergeCell ref="A38:G38"/>
    <mergeCell ref="A42:G42"/>
    <mergeCell ref="A46:G46"/>
    <mergeCell ref="A52:G52"/>
    <mergeCell ref="A53:G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0000"/>
    <pageSetUpPr fitToPage="false"/>
  </sheetPr>
  <dimension ref="A1:K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6796875" defaultRowHeight="15" customHeight="true" zeroHeight="false" outlineLevelRow="0" outlineLevelCol="0"/>
  <cols>
    <col collapsed="false" customWidth="true" hidden="false" outlineLevel="0" max="1" min="1" style="0" width="28"/>
    <col collapsed="false" customWidth="true" hidden="false" outlineLevel="0" max="3" min="2" style="0" width="16"/>
    <col collapsed="false" customWidth="true" hidden="false" outlineLevel="0" max="4" min="4" style="0" width="14"/>
    <col collapsed="false" customWidth="true" hidden="false" outlineLevel="0" max="5" min="5" style="0" width="16"/>
    <col collapsed="false" customWidth="true" hidden="false" outlineLevel="0" max="9" min="6" style="0" width="14"/>
    <col collapsed="false" customWidth="true" hidden="false" outlineLevel="0" max="10" min="10" style="0" width="16"/>
    <col collapsed="false" customWidth="true" hidden="false" outlineLevel="0" max="11" min="11" style="0" width="12"/>
  </cols>
  <sheetData>
    <row r="1" customFormat="false" ht="34.5" hidden="false" customHeight="true" outlineLevel="0" collapsed="false">
      <c r="A1" s="68" t="s">
        <v>200</v>
      </c>
      <c r="B1" s="68"/>
      <c r="C1" s="68"/>
      <c r="D1" s="68"/>
      <c r="E1" s="68"/>
      <c r="F1" s="68"/>
      <c r="G1" s="68"/>
      <c r="H1" s="68"/>
      <c r="I1" s="68"/>
      <c r="J1" s="68"/>
      <c r="K1" s="68"/>
    </row>
    <row r="2" customFormat="false" ht="45" hidden="false" customHeight="true" outlineLevel="0" collapsed="false">
      <c r="A2" s="53" t="s">
        <v>201</v>
      </c>
      <c r="B2" s="53"/>
      <c r="C2" s="53"/>
      <c r="D2" s="53"/>
      <c r="E2" s="53"/>
      <c r="F2" s="53"/>
      <c r="G2" s="53"/>
      <c r="H2" s="53"/>
      <c r="I2" s="53"/>
      <c r="J2" s="53"/>
      <c r="K2" s="53"/>
    </row>
    <row r="3" customFormat="false" ht="15" hidden="false" customHeight="false" outlineLevel="0" collapsed="false">
      <c r="A3" s="3"/>
      <c r="B3" s="3"/>
      <c r="C3" s="3"/>
      <c r="D3" s="3"/>
      <c r="E3" s="3"/>
      <c r="F3" s="3"/>
      <c r="G3" s="3"/>
      <c r="H3" s="3"/>
      <c r="I3" s="3"/>
      <c r="J3" s="3"/>
      <c r="K3" s="3"/>
    </row>
    <row r="4" customFormat="false" ht="15" hidden="false" customHeight="false" outlineLevel="0" collapsed="false">
      <c r="A4" s="4" t="s">
        <v>202</v>
      </c>
      <c r="B4" s="4"/>
      <c r="C4" s="4"/>
      <c r="D4" s="4"/>
      <c r="E4" s="4"/>
      <c r="F4" s="4"/>
      <c r="G4" s="4"/>
      <c r="H4" s="4"/>
      <c r="I4" s="4"/>
      <c r="J4" s="4"/>
      <c r="K4" s="4"/>
    </row>
    <row r="5" customFormat="false" ht="18" hidden="false" customHeight="true" outlineLevel="0" collapsed="false">
      <c r="A5" s="69" t="s">
        <v>203</v>
      </c>
      <c r="B5" s="69"/>
      <c r="C5" s="69"/>
      <c r="D5" s="69"/>
      <c r="E5" s="69"/>
      <c r="F5" s="9"/>
      <c r="G5" s="70"/>
      <c r="H5" s="70"/>
      <c r="I5" s="70"/>
      <c r="J5" s="70"/>
      <c r="K5" s="70"/>
    </row>
    <row r="6" customFormat="false" ht="34.5" hidden="false" customHeight="true" outlineLevel="0" collapsed="false">
      <c r="A6" s="32" t="s">
        <v>204</v>
      </c>
      <c r="B6" s="32"/>
      <c r="C6" s="32"/>
      <c r="D6" s="32"/>
      <c r="E6" s="32"/>
      <c r="F6" s="32"/>
      <c r="G6" s="32"/>
      <c r="H6" s="32"/>
      <c r="I6" s="32"/>
      <c r="J6" s="32"/>
      <c r="K6" s="32"/>
    </row>
    <row r="7" customFormat="false" ht="15" hidden="false" customHeight="false" outlineLevel="0" collapsed="false">
      <c r="A7" s="3"/>
      <c r="B7" s="3"/>
      <c r="C7" s="3"/>
      <c r="D7" s="3"/>
      <c r="E7" s="3"/>
      <c r="F7" s="3"/>
      <c r="G7" s="3"/>
      <c r="H7" s="3"/>
      <c r="I7" s="3"/>
      <c r="J7" s="3"/>
      <c r="K7" s="3"/>
    </row>
    <row r="8" customFormat="false" ht="15" hidden="false" customHeight="false" outlineLevel="0" collapsed="false">
      <c r="A8" s="71" t="s">
        <v>205</v>
      </c>
      <c r="B8" s="71"/>
      <c r="C8" s="71"/>
      <c r="D8" s="71"/>
      <c r="E8" s="71"/>
      <c r="F8" s="71"/>
      <c r="G8" s="71"/>
      <c r="H8" s="71"/>
      <c r="I8" s="71"/>
      <c r="J8" s="71"/>
      <c r="K8" s="71"/>
    </row>
    <row r="9" customFormat="false" ht="39.75" hidden="false" customHeight="true" outlineLevel="0" collapsed="false">
      <c r="A9" s="52" t="s">
        <v>206</v>
      </c>
      <c r="B9" s="52"/>
      <c r="C9" s="52"/>
      <c r="D9" s="52"/>
      <c r="E9" s="52"/>
      <c r="F9" s="52"/>
      <c r="G9" s="52"/>
      <c r="H9" s="52"/>
      <c r="I9" s="52"/>
      <c r="J9" s="52"/>
      <c r="K9" s="52"/>
    </row>
    <row r="10" customFormat="false" ht="45" hidden="false" customHeight="true" outlineLevel="0" collapsed="false">
      <c r="A10" s="72" t="s">
        <v>207</v>
      </c>
      <c r="B10" s="72" t="s">
        <v>208</v>
      </c>
      <c r="C10" s="72" t="s">
        <v>209</v>
      </c>
      <c r="D10" s="72" t="s">
        <v>210</v>
      </c>
      <c r="E10" s="72" t="s">
        <v>211</v>
      </c>
      <c r="F10" s="72" t="s">
        <v>212</v>
      </c>
      <c r="G10" s="72" t="s">
        <v>213</v>
      </c>
      <c r="H10" s="72" t="s">
        <v>214</v>
      </c>
      <c r="I10" s="72" t="s">
        <v>215</v>
      </c>
      <c r="J10" s="72" t="s">
        <v>216</v>
      </c>
      <c r="K10" s="72" t="s">
        <v>217</v>
      </c>
    </row>
    <row r="11" customFormat="false" ht="21.75" hidden="false" customHeight="true" outlineLevel="0" collapsed="false">
      <c r="A11" s="73" t="s">
        <v>218</v>
      </c>
      <c r="B11" s="74" t="n">
        <f aca="false">IFERROR('Budget Planner'!$I$8,0)</f>
        <v>0</v>
      </c>
      <c r="C11" s="40"/>
      <c r="D11" s="75" t="s">
        <v>111</v>
      </c>
      <c r="E11" s="76" t="n">
        <f aca="false">IFERROR(IF(B11=0,0,IF(C11=0,0,B11/C11)),0)</f>
        <v>0</v>
      </c>
      <c r="F11" s="77" t="s">
        <v>219</v>
      </c>
      <c r="G11" s="78"/>
      <c r="H11" s="79" t="n">
        <f aca="false">IFERROR(IF(G11=0,0,E11*G11),0)</f>
        <v>0</v>
      </c>
      <c r="I11" s="80" t="n">
        <f aca="false">IFERROR($F$5,0)</f>
        <v>0</v>
      </c>
      <c r="J11" s="41" t="n">
        <f aca="false">IFERROR(H11*I11,0)</f>
        <v>0</v>
      </c>
      <c r="K11" s="81" t="n">
        <f aca="false">IFERROR(IF(B11=0,0,(J11-B11)/B11),0)</f>
        <v>0</v>
      </c>
    </row>
    <row r="12" customFormat="false" ht="21.75" hidden="false" customHeight="true" outlineLevel="0" collapsed="false">
      <c r="A12" s="24" t="s">
        <v>63</v>
      </c>
      <c r="B12" s="74" t="n">
        <f aca="false">IFERROR('Budget Planner'!$I$9,0)</f>
        <v>0</v>
      </c>
      <c r="C12" s="40"/>
      <c r="D12" s="75" t="s">
        <v>111</v>
      </c>
      <c r="E12" s="82" t="n">
        <f aca="false">IFERROR(IF(B12=0,0,IF(C12=0,0,B12/C12)),0)</f>
        <v>0</v>
      </c>
      <c r="F12" s="77" t="s">
        <v>220</v>
      </c>
      <c r="G12" s="78"/>
      <c r="H12" s="79" t="n">
        <f aca="false">IFERROR(IF(G12=0,0,E12*G12),0)</f>
        <v>0</v>
      </c>
      <c r="I12" s="80" t="n">
        <f aca="false">IFERROR($F$5,0)</f>
        <v>0</v>
      </c>
      <c r="J12" s="41" t="n">
        <f aca="false">IFERROR(H12*I12,0)</f>
        <v>0</v>
      </c>
      <c r="K12" s="83" t="n">
        <f aca="false">IFERROR(IF(B12=0,0,(J12-B12)/B12),0)</f>
        <v>0</v>
      </c>
    </row>
    <row r="13" customFormat="false" ht="21.75" hidden="false" customHeight="true" outlineLevel="0" collapsed="false">
      <c r="A13" s="73" t="s">
        <v>64</v>
      </c>
      <c r="B13" s="74" t="n">
        <f aca="false">IFERROR('Budget Planner'!$I$10,0)</f>
        <v>0</v>
      </c>
      <c r="C13" s="40"/>
      <c r="D13" s="75" t="s">
        <v>111</v>
      </c>
      <c r="E13" s="76" t="n">
        <f aca="false">IFERROR(IF(B13=0,0,IF(C13=0,0,B13/C13)),0)</f>
        <v>0</v>
      </c>
      <c r="F13" s="77" t="s">
        <v>221</v>
      </c>
      <c r="G13" s="78"/>
      <c r="H13" s="79" t="n">
        <f aca="false">IFERROR(IF(G13=0,0,E13*G13),0)</f>
        <v>0</v>
      </c>
      <c r="I13" s="80" t="n">
        <f aca="false">IFERROR($F$5,0)</f>
        <v>0</v>
      </c>
      <c r="J13" s="41" t="n">
        <f aca="false">IFERROR(H13*I13,0)</f>
        <v>0</v>
      </c>
      <c r="K13" s="81" t="n">
        <f aca="false">IFERROR(IF(B13=0,0,(J13-B13)/B13),0)</f>
        <v>0</v>
      </c>
    </row>
    <row r="14" customFormat="false" ht="21.75" hidden="false" customHeight="true" outlineLevel="0" collapsed="false">
      <c r="A14" s="24" t="s">
        <v>66</v>
      </c>
      <c r="B14" s="74" t="n">
        <f aca="false">IFERROR('Budget Planner'!$I$12,0)</f>
        <v>0</v>
      </c>
      <c r="C14" s="40"/>
      <c r="D14" s="75" t="s">
        <v>111</v>
      </c>
      <c r="E14" s="82" t="n">
        <f aca="false">IFERROR(IF(B14=0,0,IF(C14=0,0,B14/C14)),0)</f>
        <v>0</v>
      </c>
      <c r="F14" s="77" t="s">
        <v>222</v>
      </c>
      <c r="G14" s="78"/>
      <c r="H14" s="79" t="n">
        <f aca="false">IFERROR(IF(G14=0,0,E14*G14),0)</f>
        <v>0</v>
      </c>
      <c r="I14" s="80" t="n">
        <f aca="false">IFERROR($F$5,0)</f>
        <v>0</v>
      </c>
      <c r="J14" s="41" t="n">
        <f aca="false">IFERROR(H14*I14,0)</f>
        <v>0</v>
      </c>
      <c r="K14" s="83" t="n">
        <f aca="false">IFERROR(IF(B14=0,0,(J14-B14)/B14),0)</f>
        <v>0</v>
      </c>
    </row>
    <row r="15" customFormat="false" ht="21.75" hidden="false" customHeight="true" outlineLevel="0" collapsed="false">
      <c r="A15" s="73" t="s">
        <v>68</v>
      </c>
      <c r="B15" s="74" t="n">
        <f aca="false">IFERROR('Budget Planner'!$I$13,0)</f>
        <v>0</v>
      </c>
      <c r="C15" s="40"/>
      <c r="D15" s="75" t="s">
        <v>108</v>
      </c>
      <c r="E15" s="76" t="n">
        <f aca="false">IFERROR(IF(B15=0,0,IF(C15=0,0,B15/C15)),0)</f>
        <v>0</v>
      </c>
      <c r="F15" s="77" t="s">
        <v>223</v>
      </c>
      <c r="G15" s="78"/>
      <c r="H15" s="79" t="n">
        <f aca="false">IFERROR(IF(G15=0,0,E15*G15),0)</f>
        <v>0</v>
      </c>
      <c r="I15" s="80" t="n">
        <f aca="false">IFERROR($F$5,0)</f>
        <v>0</v>
      </c>
      <c r="J15" s="41" t="n">
        <f aca="false">IFERROR(H15*I15,0)</f>
        <v>0</v>
      </c>
      <c r="K15" s="81" t="n">
        <f aca="false">IFERROR(IF(B15=0,0,(J15-B15)/B15),0)</f>
        <v>0</v>
      </c>
    </row>
    <row r="16" customFormat="false" ht="21.75" hidden="false" customHeight="true" outlineLevel="0" collapsed="false">
      <c r="A16" s="24" t="s">
        <v>70</v>
      </c>
      <c r="B16" s="74" t="n">
        <f aca="false">IFERROR('Budget Planner'!$I$14,0)</f>
        <v>0</v>
      </c>
      <c r="C16" s="40"/>
      <c r="D16" s="75" t="s">
        <v>128</v>
      </c>
      <c r="E16" s="82" t="n">
        <f aca="false">IFERROR(IF(B16=0,0,IF(C16=0,0,B16/C16)),0)</f>
        <v>0</v>
      </c>
      <c r="F16" s="77" t="s">
        <v>221</v>
      </c>
      <c r="G16" s="78"/>
      <c r="H16" s="79" t="n">
        <f aca="false">IFERROR(IF(G16=0,0,E16*G16),0)</f>
        <v>0</v>
      </c>
      <c r="I16" s="80" t="n">
        <f aca="false">IFERROR($F$5,0)</f>
        <v>0</v>
      </c>
      <c r="J16" s="41" t="n">
        <f aca="false">IFERROR(H16*I16,0)</f>
        <v>0</v>
      </c>
      <c r="K16" s="83" t="n">
        <f aca="false">IFERROR(IF(B16=0,0,(J16-B16)/B16),0)</f>
        <v>0</v>
      </c>
    </row>
    <row r="17" customFormat="false" ht="21.75" hidden="false" customHeight="true" outlineLevel="0" collapsed="false">
      <c r="A17" s="73" t="s">
        <v>224</v>
      </c>
      <c r="B17" s="74" t="n">
        <f aca="false">IFERROR('Budget Planner'!$I$16,0)</f>
        <v>0</v>
      </c>
      <c r="C17" s="40"/>
      <c r="D17" s="75" t="s">
        <v>225</v>
      </c>
      <c r="E17" s="76" t="n">
        <f aca="false">IFERROR(IF(B17=0,0,IF(C17=0,0,B17/C17)),0)</f>
        <v>0</v>
      </c>
      <c r="F17" s="77" t="s">
        <v>226</v>
      </c>
      <c r="G17" s="78"/>
      <c r="H17" s="79" t="n">
        <f aca="false">IFERROR(IF(G17=0,0,E17*G17),0)</f>
        <v>0</v>
      </c>
      <c r="I17" s="80" t="n">
        <f aca="false">IFERROR($F$5,0)</f>
        <v>0</v>
      </c>
      <c r="J17" s="41" t="n">
        <f aca="false">IFERROR(H17*I17,0)</f>
        <v>0</v>
      </c>
      <c r="K17" s="81" t="n">
        <f aca="false">IFERROR(IF(B17=0,0,(J17-B17)/B17),0)</f>
        <v>0</v>
      </c>
    </row>
    <row r="18" customFormat="false" ht="21.75" hidden="false" customHeight="true" outlineLevel="0" collapsed="false">
      <c r="A18" s="24" t="s">
        <v>227</v>
      </c>
      <c r="B18" s="74" t="n">
        <f aca="false">IFERROR('Budget Planner'!$I$17,0)</f>
        <v>0</v>
      </c>
      <c r="C18" s="40"/>
      <c r="D18" s="75" t="s">
        <v>225</v>
      </c>
      <c r="E18" s="82" t="n">
        <f aca="false">IFERROR(IF(B18=0,0,IF(C18=0,0,B18/C18)),0)</f>
        <v>0</v>
      </c>
      <c r="F18" s="77" t="s">
        <v>228</v>
      </c>
      <c r="G18" s="78"/>
      <c r="H18" s="79" t="n">
        <f aca="false">IFERROR(IF(G18=0,0,E18*G18),0)</f>
        <v>0</v>
      </c>
      <c r="I18" s="80" t="n">
        <f aca="false">IFERROR($F$5,0)</f>
        <v>0</v>
      </c>
      <c r="J18" s="41" t="n">
        <f aca="false">IFERROR(H18*I18,0)</f>
        <v>0</v>
      </c>
      <c r="K18" s="83" t="n">
        <f aca="false">IFERROR(IF(B18=0,0,(J18-B18)/B18),0)</f>
        <v>0</v>
      </c>
    </row>
    <row r="19" customFormat="false" ht="21.75" hidden="false" customHeight="true" outlineLevel="0" collapsed="false">
      <c r="A19" s="73" t="s">
        <v>76</v>
      </c>
      <c r="B19" s="74" t="n">
        <f aca="false">IFERROR('Budget Planner'!$I$18,0)</f>
        <v>0</v>
      </c>
      <c r="C19" s="40"/>
      <c r="D19" s="75" t="s">
        <v>229</v>
      </c>
      <c r="E19" s="76" t="n">
        <f aca="false">IFERROR(IF(B19=0,0,IF(C19=0,0,B19/C19)),0)</f>
        <v>0</v>
      </c>
      <c r="F19" s="77" t="s">
        <v>230</v>
      </c>
      <c r="G19" s="78"/>
      <c r="H19" s="79" t="n">
        <f aca="false">IFERROR(IF(G19=0,0,E19*G19),0)</f>
        <v>0</v>
      </c>
      <c r="I19" s="80" t="n">
        <f aca="false">IFERROR($F$5,0)</f>
        <v>0</v>
      </c>
      <c r="J19" s="41" t="n">
        <f aca="false">IFERROR(H19*I19,0)</f>
        <v>0</v>
      </c>
      <c r="K19" s="81" t="n">
        <f aca="false">IFERROR(IF(B19=0,0,(J19-B19)/B19),0)</f>
        <v>0</v>
      </c>
    </row>
    <row r="20" customFormat="false" ht="25.5" hidden="false" customHeight="true" outlineLevel="0" collapsed="false">
      <c r="A20" s="84" t="s">
        <v>231</v>
      </c>
      <c r="B20" s="85" t="n">
        <f aca="false">IFERROR(SUM(B11:B19),0)</f>
        <v>0</v>
      </c>
      <c r="C20" s="86"/>
      <c r="D20" s="86"/>
      <c r="E20" s="86"/>
      <c r="F20" s="86"/>
      <c r="G20" s="86"/>
      <c r="H20" s="87" t="n">
        <f aca="false">IFERROR(SUM(H11:H19),0)</f>
        <v>0</v>
      </c>
      <c r="I20" s="86"/>
      <c r="J20" s="85" t="n">
        <f aca="false">IFERROR(SUM(J11:J19),0)</f>
        <v>0</v>
      </c>
      <c r="K20" s="88" t="n">
        <f aca="false">IFERROR(IF(B20=0,0,(J20-B20)/B20),0)</f>
        <v>0</v>
      </c>
    </row>
    <row r="21" customFormat="false" ht="15" hidden="false" customHeight="false" outlineLevel="0" collapsed="false">
      <c r="A21" s="3"/>
      <c r="B21" s="3"/>
      <c r="C21" s="3"/>
      <c r="D21" s="3"/>
      <c r="E21" s="3"/>
      <c r="F21" s="3"/>
      <c r="G21" s="3"/>
      <c r="H21" s="3"/>
      <c r="I21" s="3"/>
      <c r="J21" s="3"/>
      <c r="K21" s="3"/>
    </row>
    <row r="22" customFormat="false" ht="15" hidden="false" customHeight="false" outlineLevel="0" collapsed="false">
      <c r="A22" s="89" t="s">
        <v>232</v>
      </c>
      <c r="B22" s="89"/>
      <c r="C22" s="89"/>
      <c r="D22" s="89"/>
      <c r="E22" s="89"/>
      <c r="F22" s="89"/>
      <c r="G22" s="89"/>
      <c r="H22" s="89"/>
      <c r="I22" s="89"/>
      <c r="J22" s="89"/>
      <c r="K22" s="89"/>
    </row>
    <row r="23" customFormat="false" ht="34.5" hidden="false" customHeight="true" outlineLevel="0" collapsed="false">
      <c r="A23" s="53" t="s">
        <v>233</v>
      </c>
      <c r="B23" s="53"/>
      <c r="C23" s="53"/>
      <c r="D23" s="53"/>
      <c r="E23" s="53"/>
      <c r="F23" s="53"/>
      <c r="G23" s="53"/>
      <c r="H23" s="53"/>
      <c r="I23" s="53"/>
      <c r="J23" s="53"/>
      <c r="K23" s="53"/>
    </row>
    <row r="24" customFormat="false" ht="39.75" hidden="false" customHeight="true" outlineLevel="0" collapsed="false">
      <c r="A24" s="90" t="s">
        <v>207</v>
      </c>
      <c r="B24" s="90" t="s">
        <v>208</v>
      </c>
      <c r="C24" s="90" t="s">
        <v>234</v>
      </c>
      <c r="D24" s="90" t="s">
        <v>235</v>
      </c>
      <c r="E24" s="90" t="s">
        <v>236</v>
      </c>
      <c r="F24" s="90" t="s">
        <v>237</v>
      </c>
      <c r="G24" s="91"/>
      <c r="H24" s="91"/>
      <c r="I24" s="91"/>
      <c r="J24" s="91"/>
      <c r="K24" s="91"/>
    </row>
    <row r="25" customFormat="false" ht="27.75" hidden="false" customHeight="true" outlineLevel="0" collapsed="false">
      <c r="A25" s="73" t="s">
        <v>65</v>
      </c>
      <c r="B25" s="74" t="n">
        <f aca="false">IFERROR('Budget Planner'!$I$11,0)</f>
        <v>0</v>
      </c>
      <c r="C25" s="40" t="n">
        <v>8</v>
      </c>
      <c r="D25" s="92" t="n">
        <f aca="false">IFERROR(IF(C25=0,0,(B25/C25)*1000),0)</f>
        <v>0</v>
      </c>
      <c r="E25" s="93" t="n">
        <f aca="false">IFERROR(IF(D25=0,0,B25/D25),0)</f>
        <v>0</v>
      </c>
      <c r="F25" s="94" t="s">
        <v>238</v>
      </c>
      <c r="G25" s="94"/>
      <c r="H25" s="94"/>
      <c r="I25" s="94"/>
      <c r="J25" s="94"/>
      <c r="K25" s="94"/>
    </row>
    <row r="26" customFormat="false" ht="27.75" hidden="false" customHeight="true" outlineLevel="0" collapsed="false">
      <c r="A26" s="24" t="s">
        <v>239</v>
      </c>
      <c r="B26" s="74" t="n">
        <f aca="false">IFERROR('Budget Planner'!$I$15,0)</f>
        <v>0</v>
      </c>
      <c r="C26" s="95" t="s">
        <v>240</v>
      </c>
      <c r="D26" s="95" t="s">
        <v>240</v>
      </c>
      <c r="E26" s="95" t="s">
        <v>240</v>
      </c>
      <c r="F26" s="94" t="s">
        <v>241</v>
      </c>
      <c r="G26" s="94"/>
      <c r="H26" s="94"/>
      <c r="I26" s="94"/>
      <c r="J26" s="94"/>
      <c r="K26" s="94"/>
    </row>
    <row r="27" customFormat="false" ht="27.75" hidden="false" customHeight="true" outlineLevel="0" collapsed="false">
      <c r="A27" s="73" t="s">
        <v>242</v>
      </c>
      <c r="B27" s="74" t="n">
        <f aca="false">IFERROR('Budget Planner'!$I$19,0)</f>
        <v>0</v>
      </c>
      <c r="C27" s="95" t="s">
        <v>240</v>
      </c>
      <c r="D27" s="95" t="s">
        <v>240</v>
      </c>
      <c r="E27" s="95" t="s">
        <v>240</v>
      </c>
      <c r="F27" s="94" t="s">
        <v>243</v>
      </c>
      <c r="G27" s="94"/>
      <c r="H27" s="94"/>
      <c r="I27" s="94"/>
      <c r="J27" s="94"/>
      <c r="K27" s="94"/>
    </row>
    <row r="28" customFormat="false" ht="27.75" hidden="false" customHeight="true" outlineLevel="0" collapsed="false">
      <c r="A28" s="24" t="s">
        <v>80</v>
      </c>
      <c r="B28" s="74" t="n">
        <f aca="false">IFERROR('Budget Planner'!$I$20,0)</f>
        <v>0</v>
      </c>
      <c r="C28" s="95" t="s">
        <v>240</v>
      </c>
      <c r="D28" s="95" t="s">
        <v>240</v>
      </c>
      <c r="E28" s="95" t="s">
        <v>240</v>
      </c>
      <c r="F28" s="94" t="s">
        <v>244</v>
      </c>
      <c r="G28" s="94"/>
      <c r="H28" s="94"/>
      <c r="I28" s="94"/>
      <c r="J28" s="94"/>
      <c r="K28" s="94"/>
    </row>
    <row r="29" customFormat="false" ht="27.75" hidden="false" customHeight="true" outlineLevel="0" collapsed="false">
      <c r="A29" s="73" t="s">
        <v>245</v>
      </c>
      <c r="B29" s="74" t="n">
        <f aca="false">IFERROR('Budget Planner'!$I$21,0)</f>
        <v>0</v>
      </c>
      <c r="C29" s="40" t="n">
        <v>5</v>
      </c>
      <c r="D29" s="92" t="n">
        <f aca="false">IFERROR(IF(C29=0,0,(B29/C29)*1000),0)</f>
        <v>0</v>
      </c>
      <c r="E29" s="93" t="n">
        <f aca="false">IFERROR(IF(D29=0,0,B29/D29),0)</f>
        <v>0</v>
      </c>
      <c r="F29" s="94" t="s">
        <v>246</v>
      </c>
      <c r="G29" s="94"/>
      <c r="H29" s="94"/>
      <c r="I29" s="94"/>
      <c r="J29" s="94"/>
      <c r="K29" s="94"/>
    </row>
    <row r="30" customFormat="false" ht="27.75" hidden="false" customHeight="true" outlineLevel="0" collapsed="false">
      <c r="A30" s="24" t="s">
        <v>247</v>
      </c>
      <c r="B30" s="74" t="n">
        <f aca="false">IFERROR('Budget Planner'!$I$22,0)</f>
        <v>0</v>
      </c>
      <c r="C30" s="40" t="n">
        <v>4</v>
      </c>
      <c r="D30" s="92" t="n">
        <f aca="false">IFERROR(IF(C30=0,0,(B30/C30)*1000),0)</f>
        <v>0</v>
      </c>
      <c r="E30" s="96" t="n">
        <f aca="false">IFERROR(IF(D30=0,0,B30/D30),0)</f>
        <v>0</v>
      </c>
      <c r="F30" s="94" t="s">
        <v>248</v>
      </c>
      <c r="G30" s="94"/>
      <c r="H30" s="94"/>
      <c r="I30" s="94"/>
      <c r="J30" s="94"/>
      <c r="K30" s="94"/>
    </row>
    <row r="31" customFormat="false" ht="27.75" hidden="false" customHeight="true" outlineLevel="0" collapsed="false">
      <c r="A31" s="73" t="s">
        <v>86</v>
      </c>
      <c r="B31" s="74" t="n">
        <f aca="false">IFERROR('Budget Planner'!$I$23,0)</f>
        <v>0</v>
      </c>
      <c r="C31" s="95" t="s">
        <v>240</v>
      </c>
      <c r="D31" s="95" t="s">
        <v>240</v>
      </c>
      <c r="E31" s="95" t="s">
        <v>240</v>
      </c>
      <c r="F31" s="94" t="s">
        <v>249</v>
      </c>
      <c r="G31" s="94"/>
      <c r="H31" s="94"/>
      <c r="I31" s="94"/>
      <c r="J31" s="94"/>
      <c r="K31" s="94"/>
    </row>
    <row r="32" customFormat="false" ht="15" hidden="false" customHeight="false" outlineLevel="0" collapsed="false">
      <c r="A32" s="3"/>
      <c r="B32" s="3"/>
      <c r="C32" s="3"/>
      <c r="D32" s="3"/>
      <c r="E32" s="3"/>
      <c r="F32" s="3"/>
      <c r="G32" s="3"/>
      <c r="H32" s="3"/>
      <c r="I32" s="3"/>
      <c r="J32" s="3"/>
      <c r="K32" s="3"/>
    </row>
    <row r="33" customFormat="false" ht="15" hidden="false" customHeight="false" outlineLevel="0" collapsed="false">
      <c r="A33" s="4" t="s">
        <v>250</v>
      </c>
      <c r="B33" s="4"/>
      <c r="C33" s="4"/>
      <c r="D33" s="4"/>
      <c r="E33" s="4"/>
      <c r="F33" s="4"/>
      <c r="G33" s="4"/>
      <c r="H33" s="4"/>
      <c r="I33" s="4"/>
      <c r="J33" s="4"/>
      <c r="K33" s="4"/>
    </row>
    <row r="34" customFormat="false" ht="24" hidden="false" customHeight="true" outlineLevel="0" collapsed="false">
      <c r="A34" s="15" t="s">
        <v>251</v>
      </c>
      <c r="B34" s="15"/>
      <c r="C34" s="15"/>
      <c r="D34" s="15"/>
      <c r="E34" s="15"/>
      <c r="F34" s="15"/>
      <c r="G34" s="17"/>
      <c r="H34" s="17"/>
      <c r="I34" s="17"/>
      <c r="J34" s="97" t="n">
        <f aca="false">IFERROR('Budget Planner'!I26,0)</f>
        <v>0</v>
      </c>
      <c r="K34" s="98"/>
    </row>
    <row r="35" customFormat="false" ht="24" hidden="false" customHeight="true" outlineLevel="0" collapsed="false">
      <c r="A35" s="15" t="s">
        <v>252</v>
      </c>
      <c r="B35" s="15"/>
      <c r="C35" s="15"/>
      <c r="D35" s="15"/>
      <c r="E35" s="15"/>
      <c r="F35" s="15"/>
      <c r="G35" s="17"/>
      <c r="H35" s="17"/>
      <c r="I35" s="17"/>
      <c r="J35" s="97" t="n">
        <f aca="false">IFERROR(J20,0)</f>
        <v>0</v>
      </c>
      <c r="K35" s="98"/>
    </row>
    <row r="36" customFormat="false" ht="24" hidden="false" customHeight="true" outlineLevel="0" collapsed="false">
      <c r="A36" s="15" t="s">
        <v>253</v>
      </c>
      <c r="B36" s="15"/>
      <c r="C36" s="15"/>
      <c r="D36" s="15"/>
      <c r="E36" s="15"/>
      <c r="F36" s="15"/>
      <c r="G36" s="17"/>
      <c r="H36" s="17"/>
      <c r="I36" s="17"/>
      <c r="J36" s="97" t="n">
        <f aca="false">IFERROR(J35-J34,0)</f>
        <v>0</v>
      </c>
      <c r="K36" s="98"/>
    </row>
    <row r="37" customFormat="false" ht="24" hidden="false" customHeight="true" outlineLevel="0" collapsed="false">
      <c r="A37" s="12" t="s">
        <v>254</v>
      </c>
      <c r="B37" s="12"/>
      <c r="C37" s="12"/>
      <c r="D37" s="12"/>
      <c r="E37" s="12"/>
      <c r="F37" s="12"/>
      <c r="G37" s="14"/>
      <c r="H37" s="14"/>
      <c r="I37" s="14"/>
      <c r="J37" s="99" t="n">
        <f aca="false">IFERROR(IF(J34=0,0,(J35-J34)/J34),0)</f>
        <v>0</v>
      </c>
      <c r="K37" s="14"/>
    </row>
    <row r="38" customFormat="false" ht="24" hidden="false" customHeight="true" outlineLevel="0" collapsed="false">
      <c r="A38" s="12" t="s">
        <v>255</v>
      </c>
      <c r="B38" s="12"/>
      <c r="C38" s="12"/>
      <c r="D38" s="12"/>
      <c r="E38" s="12"/>
      <c r="F38" s="12"/>
      <c r="G38" s="14"/>
      <c r="H38" s="14"/>
      <c r="I38" s="14"/>
      <c r="J38" s="100" t="n">
        <f aca="false">IFERROR(IF(J34=0,0,J35/J34),0)</f>
        <v>0</v>
      </c>
      <c r="K38" s="14"/>
    </row>
    <row r="39" customFormat="false" ht="15" hidden="false" customHeight="false" outlineLevel="0" collapsed="false">
      <c r="A39" s="3"/>
      <c r="B39" s="3"/>
      <c r="C39" s="3"/>
      <c r="D39" s="3"/>
      <c r="E39" s="3"/>
      <c r="F39" s="3"/>
      <c r="G39" s="3"/>
      <c r="H39" s="3"/>
      <c r="I39" s="3"/>
      <c r="J39" s="3"/>
      <c r="K39" s="3"/>
    </row>
    <row r="40" customFormat="false" ht="54.75" hidden="false" customHeight="true" outlineLevel="0" collapsed="false">
      <c r="A40" s="101" t="s">
        <v>256</v>
      </c>
      <c r="B40" s="101"/>
      <c r="C40" s="101"/>
      <c r="D40" s="101"/>
      <c r="E40" s="101"/>
      <c r="F40" s="101"/>
      <c r="G40" s="101"/>
      <c r="H40" s="101"/>
      <c r="I40" s="101"/>
      <c r="J40" s="101"/>
      <c r="K40" s="101"/>
    </row>
  </sheetData>
  <mergeCells count="23">
    <mergeCell ref="A1:K1"/>
    <mergeCell ref="A2:K2"/>
    <mergeCell ref="A4:K4"/>
    <mergeCell ref="A5:E5"/>
    <mergeCell ref="A6:K6"/>
    <mergeCell ref="A8:K8"/>
    <mergeCell ref="A9:K9"/>
    <mergeCell ref="A22:K22"/>
    <mergeCell ref="A23:K23"/>
    <mergeCell ref="F25:K25"/>
    <mergeCell ref="F26:K26"/>
    <mergeCell ref="F27:K27"/>
    <mergeCell ref="F28:K28"/>
    <mergeCell ref="F29:K29"/>
    <mergeCell ref="F30:K30"/>
    <mergeCell ref="F31:K31"/>
    <mergeCell ref="A33:K33"/>
    <mergeCell ref="A34:F34"/>
    <mergeCell ref="A35:F35"/>
    <mergeCell ref="A36:F36"/>
    <mergeCell ref="A37:F37"/>
    <mergeCell ref="A38:F38"/>
    <mergeCell ref="A40:K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2026-03-23T10:50:59Z</dcterms:created>
  <dc:creator>openpyxl</dc:creator>
  <dc:description/>
  <dc:language>en-US</dc:language>
  <cp:lastModifiedBy>Josh Bircham (abs)</cp:lastModifiedBy>
  <dcterms:modified xsi:type="dcterms:W3CDTF">2026-03-23T17:21:31Z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